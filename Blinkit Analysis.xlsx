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xr:revisionPtr revIDLastSave="0" documentId="8_{41257E73-061F-4C62-8D96-30DB3DF0FF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inkIT Grocery Project" sheetId="2" r:id="rId1"/>
    <sheet name="Sheet1" sheetId="1" r:id="rId2"/>
    <sheet name="Dashboard" sheetId="4" r:id="rId3"/>
  </sheets>
  <calcPr calcId="191029"/>
  <pivotCaches>
    <pivotCache cacheId="0" r:id="rId4"/>
  </pivotCaches>
</workbook>
</file>

<file path=xl/calcChain.xml><?xml version="1.0" encoding="utf-8"?>
<calcChain xmlns="http://schemas.openxmlformats.org/spreadsheetml/2006/main">
  <c r="M110" i="2" l="1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<sst xmlns="http://schemas.openxmlformats.org/spreadsheetml/2006/main" count="813" uniqueCount="161">
  <si>
    <t>Row Labels</t>
  </si>
  <si>
    <t>Sum of Item_Outlet_Sales</t>
  </si>
  <si>
    <t>Column Labels</t>
  </si>
  <si>
    <t>Tier 1</t>
  </si>
  <si>
    <t>High Sales</t>
  </si>
  <si>
    <t>Low Sales</t>
  </si>
  <si>
    <t>Medium Sales</t>
  </si>
  <si>
    <t>Grand Total</t>
  </si>
  <si>
    <t>Tier 2</t>
  </si>
  <si>
    <t>Tier 3</t>
  </si>
  <si>
    <t>Baking Goods</t>
  </si>
  <si>
    <t>Breads</t>
  </si>
  <si>
    <t>Breakfast</t>
  </si>
  <si>
    <t>Canned</t>
  </si>
  <si>
    <t>Dairy</t>
  </si>
  <si>
    <t>Frozen Foods</t>
  </si>
  <si>
    <t>Fruits and Vegetables</t>
  </si>
  <si>
    <t>Hard Drinks</t>
  </si>
  <si>
    <t>Health and Hygiene</t>
  </si>
  <si>
    <t>Household</t>
  </si>
  <si>
    <t>Meat</t>
  </si>
  <si>
    <t>Snack Foods</t>
  </si>
  <si>
    <t>Soft Drinks</t>
  </si>
  <si>
    <t>Starchy Foods</t>
  </si>
  <si>
    <t>Item_Identifier</t>
  </si>
  <si>
    <t>Item_Weight</t>
  </si>
  <si>
    <t>Item_Fat_Content</t>
  </si>
  <si>
    <t>Item_Visibility</t>
  </si>
  <si>
    <t>Item_Type</t>
  </si>
  <si>
    <t>Item_MRP</t>
  </si>
  <si>
    <t>Outlet_Identifier</t>
  </si>
  <si>
    <t>Outlet_Establishment_Year</t>
  </si>
  <si>
    <t>Outlet_Size</t>
  </si>
  <si>
    <t>Outlet_Location_Type</t>
  </si>
  <si>
    <t>Outlet_Type</t>
  </si>
  <si>
    <t>Item_Outlet_Sales</t>
  </si>
  <si>
    <t>Sales Performance</t>
  </si>
  <si>
    <t>FDA15</t>
  </si>
  <si>
    <t>Low Fat</t>
  </si>
  <si>
    <t>OUT049</t>
  </si>
  <si>
    <t>Medium</t>
  </si>
  <si>
    <t>Supermarket Type1</t>
  </si>
  <si>
    <t>DRC01</t>
  </si>
  <si>
    <t>Regular</t>
  </si>
  <si>
    <t>OUT018</t>
  </si>
  <si>
    <t>Supermarket Type2</t>
  </si>
  <si>
    <t>FDN15</t>
  </si>
  <si>
    <t>FDX07</t>
  </si>
  <si>
    <t>OUT010</t>
  </si>
  <si>
    <t>Grocery Store</t>
  </si>
  <si>
    <t>NCD19</t>
  </si>
  <si>
    <t>OUT013</t>
  </si>
  <si>
    <t>High</t>
  </si>
  <si>
    <t>FDP36</t>
  </si>
  <si>
    <t>FDO10</t>
  </si>
  <si>
    <t>FDP10</t>
  </si>
  <si>
    <t>OUT027</t>
  </si>
  <si>
    <t>Supermarket Type3</t>
  </si>
  <si>
    <t>FDH17</t>
  </si>
  <si>
    <t>OUT045</t>
  </si>
  <si>
    <t>FDU28</t>
  </si>
  <si>
    <t>OUT017</t>
  </si>
  <si>
    <t>FDY07</t>
  </si>
  <si>
    <t>FDA03</t>
  </si>
  <si>
    <t>OUT046</t>
  </si>
  <si>
    <t>Small</t>
  </si>
  <si>
    <t>FDX32</t>
  </si>
  <si>
    <t>FDS46</t>
  </si>
  <si>
    <t>FDF32</t>
  </si>
  <si>
    <t>FDP49</t>
  </si>
  <si>
    <t>NCB42</t>
  </si>
  <si>
    <t>DRI11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</si>
  <si>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</si>
  <si>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</si>
  <si>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</si>
  <si>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</si>
  <si>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</si>
  <si>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</si>
  <si>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</si>
  <si>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</si>
  <si>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</si>
  <si>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</si>
  <si>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</si>
  <si>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low fat</t>
  </si>
  <si>
    <t>FDE51</t>
  </si>
  <si>
    <t>FDC14</t>
  </si>
  <si>
    <t>FDV38</t>
  </si>
  <si>
    <t>NCS17</t>
  </si>
  <si>
    <t>FDP33</t>
  </si>
  <si>
    <t>FDO23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</si>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</sst>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5">
    <dxf>
      <numFmt numFmtId="0" formatCode="General"/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Total Sales by Item Type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Sheet1!$H$1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Sheet1!$C$2:$C$25</c:f>
              <c:numCache>
                <c:formatCode>General</c:formatCode>
                <c:ptCount val="24"/>
              </c:numCache>
            </c:numRef>
          </c:cat>
          <c:val>
            <c:numRef>
              <c:f>Sheet1!$H$2:$H$25</c:f>
              <c:numCache>
                <c:formatCode>General</c:formatCode>
                <c:ptCount val="24"/>
                <c:pt idx="2">
                  <c:v>0</c:v>
                </c:pt>
                <c:pt idx="3">
                  <c:v>74409.142200000002</c:v>
                </c:pt>
                <c:pt idx="4">
                  <c:v>72196.688800000004</c:v>
                </c:pt>
                <c:pt idx="5">
                  <c:v>85396.173800000004</c:v>
                </c:pt>
                <c:pt idx="6">
                  <c:v>232002.0048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C-4F71-AE6E-3DAE7D4BA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by Outlet Type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Sheet1!$H$1</c:f>
              <c:strCache>
                <c:ptCount val="1"/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Sheet1!$E$2:$E$25</c:f>
              <c:strCache>
                <c:ptCount val="20"/>
                <c:pt idx="1">
                  <c:v>Column Labels</c:v>
                </c:pt>
                <c:pt idx="2">
                  <c:v>High Sales</c:v>
                </c:pt>
                <c:pt idx="3">
                  <c:v>35997.1428</c:v>
                </c:pt>
                <c:pt idx="4">
                  <c:v>36992.5138</c:v>
                </c:pt>
                <c:pt idx="5">
                  <c:v>49763.2236</c:v>
                </c:pt>
                <c:pt idx="6">
                  <c:v>122752.8802</c:v>
                </c:pt>
                <c:pt idx="9">
                  <c:v>Sum of Item_Outlet_Sales</c:v>
                </c:pt>
                <c:pt idx="10">
                  <c:v>36934.5892</c:v>
                </c:pt>
                <c:pt idx="11">
                  <c:v>16894.675</c:v>
                </c:pt>
                <c:pt idx="12">
                  <c:v>38954.6264</c:v>
                </c:pt>
                <c:pt idx="13">
                  <c:v>1986.7472</c:v>
                </c:pt>
                <c:pt idx="14">
                  <c:v>30901.1096</c:v>
                </c:pt>
                <c:pt idx="15">
                  <c:v>33723.4358</c:v>
                </c:pt>
                <c:pt idx="16">
                  <c:v>18635.0762</c:v>
                </c:pt>
                <c:pt idx="17">
                  <c:v>19838.1768</c:v>
                </c:pt>
                <c:pt idx="18">
                  <c:v>34133.5686</c:v>
                </c:pt>
                <c:pt idx="19">
                  <c:v>232002.0048</c:v>
                </c:pt>
              </c:strCache>
            </c:strRef>
          </c:cat>
          <c:val>
            <c:numRef>
              <c:f>Sheet1!$H$2:$H$25</c:f>
              <c:numCache>
                <c:formatCode>General</c:formatCode>
                <c:ptCount val="24"/>
                <c:pt idx="2">
                  <c:v>0</c:v>
                </c:pt>
                <c:pt idx="3">
                  <c:v>74409.142200000002</c:v>
                </c:pt>
                <c:pt idx="4">
                  <c:v>72196.688800000004</c:v>
                </c:pt>
                <c:pt idx="5">
                  <c:v>85396.173800000004</c:v>
                </c:pt>
                <c:pt idx="6">
                  <c:v>232002.0048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22-42D2-8ED5-953CB90E14B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Trend by Outlet Establishment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Sheet1!$H$1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Sheet1!$F$2:$F$25</c:f>
              <c:strCache>
                <c:ptCount val="7"/>
                <c:pt idx="2">
                  <c:v>Low Sales</c:v>
                </c:pt>
                <c:pt idx="3">
                  <c:v>12601.5966</c:v>
                </c:pt>
                <c:pt idx="4">
                  <c:v>8440.3466</c:v>
                </c:pt>
                <c:pt idx="5">
                  <c:v>8809.1998</c:v>
                </c:pt>
                <c:pt idx="6">
                  <c:v>29851.143</c:v>
                </c:pt>
              </c:strCache>
            </c:strRef>
          </c:cat>
          <c:val>
            <c:numRef>
              <c:f>Sheet1!$H$2:$H$25</c:f>
              <c:numCache>
                <c:formatCode>General</c:formatCode>
                <c:ptCount val="24"/>
                <c:pt idx="2">
                  <c:v>0</c:v>
                </c:pt>
                <c:pt idx="3">
                  <c:v>74409.142200000002</c:v>
                </c:pt>
                <c:pt idx="4">
                  <c:v>72196.688800000004</c:v>
                </c:pt>
                <c:pt idx="5">
                  <c:v>85396.173800000004</c:v>
                </c:pt>
                <c:pt idx="6">
                  <c:v>232002.0048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72C-4B63-9ECE-1E4B4299F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Average Rating by Outlet Size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Sheet1!$J$1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Sheet1!$G$2:$G$25</c:f>
              <c:strCache>
                <c:ptCount val="7"/>
                <c:pt idx="2">
                  <c:v>Medium Sales</c:v>
                </c:pt>
                <c:pt idx="3">
                  <c:v>25810.4028</c:v>
                </c:pt>
                <c:pt idx="4">
                  <c:v>26763.8284</c:v>
                </c:pt>
                <c:pt idx="5">
                  <c:v>26823.7504</c:v>
                </c:pt>
                <c:pt idx="6">
                  <c:v>79397.9816</c:v>
                </c:pt>
              </c:strCache>
            </c:strRef>
          </c:cat>
          <c:val>
            <c:numRef>
              <c:f>Sheet1!$J$2:$J$25</c:f>
              <c:numCache>
                <c:formatCode>General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0-0F5D-467B-8D81-4AC11DCA6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0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ee" refreshedDate="46061.981931828697" createdVersion="8" refreshedVersion="8" minRefreshableVersion="3" recordCount="109" xr:uid="{00000000-000A-0000-FFFF-FFFF09000000}">
  <cacheSource type="worksheet">
    <worksheetSource name="Table1"/>
  </cacheSource>
  <cacheFields count="13">
    <cacheField name="Item_Identifier" numFmtId="0">
      <sharedItems/>
    </cacheField>
    <cacheField name="Item_Weight" numFmtId="0">
      <sharedItems containsString="0" containsBlank="1" containsNumber="1" minValue="5.9050000000000002" maxValue="21.35"/>
    </cacheField>
    <cacheField name="Item_Fat_Content" numFmtId="0">
      <sharedItems/>
    </cacheField>
    <cacheField name="Item_Visibility" numFmtId="0">
      <sharedItems containsSemiMixedTypes="0" containsString="0" containsNumber="1" minValue="0" maxValue="0.293417759"/>
    </cacheField>
    <cacheField name="Item_Type" numFmtId="0">
      <sharedItems count="14">
        <s v="Dairy"/>
        <s v="Soft Drinks"/>
        <s v="Meat"/>
        <s v="Fruits and Vegetables"/>
        <s v="Household"/>
        <s v="Baking Goods"/>
        <s v="Snack Foods"/>
        <s v="Frozen Foods"/>
        <s v="Breakfast"/>
        <s v="Health and Hygiene"/>
        <s v="Hard Drinks"/>
        <s v="Canned"/>
        <s v="Breads"/>
        <s v="Starchy Foods"/>
      </sharedItems>
    </cacheField>
    <cacheField name="Item_MRP" numFmtId="0">
      <sharedItems containsSemiMixedTypes="0" containsString="0" containsNumber="1" minValue="36.987400000000001" maxValue="265.2226"/>
    </cacheField>
    <cacheField name="Outlet_Identifier" numFmtId="0">
      <sharedItems/>
    </cacheField>
    <cacheField name="Outlet_Establishment_Year" numFmtId="0">
      <sharedItems containsSemiMixedTypes="0" containsString="0" containsNumber="1" containsInteger="1" minValue="1985" maxValue="2009" count="9">
        <n v="1999"/>
        <n v="2009"/>
        <n v="1998"/>
        <n v="1987"/>
        <n v="1985"/>
        <n v="2002"/>
        <n v="2007"/>
        <n v="1997"/>
        <n v="2004"/>
      </sharedItems>
    </cacheField>
    <cacheField name="Outlet_Size" numFmtId="0">
      <sharedItems/>
    </cacheField>
    <cacheField name="Outlet_Location_Type" numFmtId="0">
      <sharedItems count="3">
        <s v="Tier 1"/>
        <s v="Tier 3"/>
        <s v="Tier 2"/>
      </sharedItems>
    </cacheField>
    <cacheField name="Outlet_Type" numFmtId="0">
      <sharedItems/>
    </cacheField>
    <cacheField name="Item_Outlet_Sales" numFmtId="0">
      <sharedItems containsSemiMixedTypes="0" containsString="0" containsNumber="1" minValue="125.83620000000001" maxValue="6768.5227999999997"/>
    </cacheField>
    <cacheField name="Sales Performance" numFmtId="0">
      <sharedItems count="3">
        <s v="High Sales"/>
        <s v="Low Sales"/>
        <s v="Medium Sal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09">
  <r>
    <s v="FDA15"/>
    <n v="9.300000000000001"/>
    <s v="Low Fat"/>
    <n v="0.016047301"/>
    <x v="0"/>
    <n v="249.8092"/>
    <s v="OUT049"/>
    <x v="0"/>
    <s v="Medium"/>
    <x v="0"/>
    <s v="Supermarket Type1"/>
    <n v="3735.138"/>
    <x v="0"/>
  </r>
  <r>
    <s v="DRC01"/>
    <n v="5.92"/>
    <s v="Regular"/>
    <n v="0.019278216"/>
    <x v="1"/>
    <n v="48.2692"/>
    <s v="OUT018"/>
    <x v="1"/>
    <s v="Medium"/>
    <x v="1"/>
    <s v="Supermarket Type2"/>
    <n v="443.4228"/>
    <x v="1"/>
  </r>
  <r>
    <s v="FDN15"/>
    <n v="17.5"/>
    <s v="Low Fat"/>
    <n v="0.016760075"/>
    <x v="2"/>
    <n v="141.618"/>
    <s v="OUT049"/>
    <x v="0"/>
    <s v="Medium"/>
    <x v="0"/>
    <s v="Supermarket Type1"/>
    <n v="2097.27"/>
    <x v="2"/>
  </r>
  <r>
    <s v="FDX07"/>
    <n v="19.2"/>
    <s v="Regular"/>
    <n v="0"/>
    <x v="3"/>
    <n v="182.095"/>
    <s v="OUT010"/>
    <x v="2"/>
    <s v="Medium"/>
    <x v="1"/>
    <s v="Grocery Store"/>
    <n v="732.38"/>
    <x v="1"/>
  </r>
  <r>
    <s v="NCD19"/>
    <n v="8.93"/>
    <s v="Low Fat"/>
    <n v="0"/>
    <x v="4"/>
    <n v="53.8614"/>
    <s v="OUT013"/>
    <x v="3"/>
    <s v="High"/>
    <x v="1"/>
    <s v="Supermarket Type1"/>
    <n v="994.7052"/>
    <x v="1"/>
  </r>
  <r>
    <s v="FDP36"/>
    <n v="10.395"/>
    <s v="Regular"/>
    <n v="0"/>
    <x v="5"/>
    <n v="51.4008"/>
    <s v="OUT018"/>
    <x v="1"/>
    <s v="Medium"/>
    <x v="1"/>
    <s v="Supermarket Type2"/>
    <n v="556.6088"/>
    <x v="1"/>
  </r>
  <r>
    <s v="FDO10"/>
    <n v="13.65"/>
    <s v="Regular"/>
    <n v="0.012741089"/>
    <x v="6"/>
    <n v="57.6588"/>
    <s v="OUT013"/>
    <x v="3"/>
    <s v="High"/>
    <x v="1"/>
    <s v="Supermarket Type1"/>
    <n v="343.5528"/>
    <x v="1"/>
  </r>
  <r>
    <s v="FDP10"/>
    <m/>
    <s v="Low Fat"/>
    <n v="0.127469857"/>
    <x v="6"/>
    <n v="107.7622"/>
    <s v="OUT027"/>
    <x v="4"/>
    <s v="Medium"/>
    <x v="1"/>
    <s v="Supermarket Type3"/>
    <n v="4022.7636"/>
    <x v="0"/>
  </r>
  <r>
    <s v="FDH17"/>
    <n v="16.2"/>
    <s v="Regular"/>
    <n v="0.016687114"/>
    <x v="7"/>
    <n v="96.9726"/>
    <s v="OUT045"/>
    <x v="5"/>
    <s v="Medium"/>
    <x v="2"/>
    <s v="Supermarket Type1"/>
    <n v="1076.5986"/>
    <x v="1"/>
  </r>
  <r>
    <s v="FDU28"/>
    <n v="19.2"/>
    <s v="Regular"/>
    <n v="0.09444959"/>
    <x v="7"/>
    <n v="187.8214"/>
    <s v="OUT017"/>
    <x v="6"/>
    <s v="Medium"/>
    <x v="2"/>
    <s v="Supermarket Type1"/>
    <n v="4710.535"/>
    <x v="0"/>
  </r>
  <r>
    <s v="FDY07"/>
    <n v="11.8"/>
    <s v="Low Fat"/>
    <n v="0"/>
    <x v="3"/>
    <n v="45.5402"/>
    <s v="OUT049"/>
    <x v="0"/>
    <s v="Medium"/>
    <x v="0"/>
    <s v="Supermarket Type1"/>
    <n v="1516.0266"/>
    <x v="2"/>
  </r>
  <r>
    <s v="FDA03"/>
    <n v="18.5"/>
    <s v="Regular"/>
    <n v="0.045463773"/>
    <x v="0"/>
    <n v="144.1102"/>
    <s v="OUT046"/>
    <x v="7"/>
    <s v="Small"/>
    <x v="0"/>
    <s v="Supermarket Type1"/>
    <n v="2187.153"/>
    <x v="2"/>
  </r>
  <r>
    <s v="FDX32"/>
    <n v="15.1"/>
    <s v="Regular"/>
    <n v="0.1000135"/>
    <x v="3"/>
    <n v="145.4786"/>
    <s v="OUT049"/>
    <x v="0"/>
    <s v="Medium"/>
    <x v="0"/>
    <s v="Supermarket Type1"/>
    <n v="1589.2646"/>
    <x v="2"/>
  </r>
  <r>
    <s v="FDS46"/>
    <n v="17.6"/>
    <s v="Regular"/>
    <n v="0.047257328"/>
    <x v="6"/>
    <n v="119.6782"/>
    <s v="OUT046"/>
    <x v="7"/>
    <s v="Small"/>
    <x v="0"/>
    <s v="Supermarket Type1"/>
    <n v="2145.2076"/>
    <x v="2"/>
  </r>
  <r>
    <s v="FDF32"/>
    <n v="16.35"/>
    <s v="Low Fat"/>
    <n v="0.0680243"/>
    <x v="3"/>
    <n v="196.4426"/>
    <s v="OUT013"/>
    <x v="3"/>
    <s v="High"/>
    <x v="1"/>
    <s v="Supermarket Type1"/>
    <n v="1977.426"/>
    <x v="2"/>
  </r>
  <r>
    <s v="FDP49"/>
    <n v="9"/>
    <s v="Regular"/>
    <n v="0.069088961"/>
    <x v="8"/>
    <n v="56.3614"/>
    <s v="OUT046"/>
    <x v="7"/>
    <s v="Small"/>
    <x v="0"/>
    <s v="Supermarket Type1"/>
    <n v="1547.3192"/>
    <x v="2"/>
  </r>
  <r>
    <s v="NCB42"/>
    <n v="11.8"/>
    <s v="Low Fat"/>
    <n v="0.008596051"/>
    <x v="9"/>
    <n v="115.3492"/>
    <s v="OUT018"/>
    <x v="1"/>
    <s v="Medium"/>
    <x v="1"/>
    <s v="Supermarket Type2"/>
    <n v="1621.8888"/>
    <x v="2"/>
  </r>
  <r>
    <s v="FDP49"/>
    <n v="9"/>
    <s v="Regular"/>
    <n v="0.069196376"/>
    <x v="8"/>
    <n v="54.3614"/>
    <s v="OUT049"/>
    <x v="0"/>
    <s v="Medium"/>
    <x v="0"/>
    <s v="Supermarket Type1"/>
    <n v="718.3982"/>
    <x v="1"/>
  </r>
  <r>
    <s v="DRI11"/>
    <m/>
    <s v="Low Fat"/>
    <n v="0.034237682"/>
    <x v="10"/>
    <n v="113.2834"/>
    <s v="OUT027"/>
    <x v="4"/>
    <s v="Medium"/>
    <x v="1"/>
    <s v="Supermarket Type3"/>
    <n v="2303.668"/>
    <x v="2"/>
  </r>
  <r>
    <s v="FDU02"/>
    <n v="13.35"/>
    <s v="Low Fat"/>
    <n v="0.10249212"/>
    <x v="0"/>
    <n v="230.5352"/>
    <s v="OUT035"/>
    <x v="8"/>
    <s v="Small"/>
    <x v="2"/>
    <s v="Supermarket Type1"/>
    <n v="2748.4224"/>
    <x v="2"/>
  </r>
  <r>
    <s v="FDN22"/>
    <n v="18.85"/>
    <s v="Regular"/>
    <n v="0.138190277"/>
    <x v="6"/>
    <n v="250.8724"/>
    <s v="OUT013"/>
    <x v="3"/>
    <s v="High"/>
    <x v="1"/>
    <s v="Supermarket Type1"/>
    <n v="3775.086"/>
    <x v="0"/>
  </r>
  <r>
    <s v="FDW12"/>
    <m/>
    <s v="Regular"/>
    <n v="0.035399923"/>
    <x v="5"/>
    <n v="144.5444"/>
    <s v="OUT027"/>
    <x v="4"/>
    <s v="Medium"/>
    <x v="1"/>
    <s v="Supermarket Type3"/>
    <n v="4064.0432"/>
    <x v="0"/>
  </r>
  <r>
    <s v="NCB30"/>
    <n v="14.6"/>
    <s v="Low Fat"/>
    <n v="0.025698134"/>
    <x v="4"/>
    <n v="196.5084"/>
    <s v="OUT035"/>
    <x v="8"/>
    <s v="Small"/>
    <x v="2"/>
    <s v="Supermarket Type1"/>
    <n v="1587.2672"/>
    <x v="2"/>
  </r>
  <r>
    <s v="FDC37"/>
    <m/>
    <s v="Low Fat"/>
    <n v="0.057556998"/>
    <x v="5"/>
    <n v="107.6938"/>
    <s v="OUT019"/>
    <x v="4"/>
    <s v="Small"/>
    <x v="0"/>
    <s v="Grocery Store"/>
    <n v="214.3876"/>
    <x v="1"/>
  </r>
  <r>
    <s v="FDR28"/>
    <n v="13.85"/>
    <s v="Regular"/>
    <n v="0.025896485"/>
    <x v="7"/>
    <n v="165.021"/>
    <s v="OUT046"/>
    <x v="7"/>
    <s v="Small"/>
    <x v="0"/>
    <s v="Supermarket Type1"/>
    <n v="4078.025"/>
    <x v="0"/>
  </r>
  <r>
    <s v="NCD06"/>
    <n v="13"/>
    <s v="Low Fat"/>
    <n v="0.099887103"/>
    <x v="4"/>
    <n v="45.906"/>
    <s v="OUT017"/>
    <x v="6"/>
    <s v="Small"/>
    <x v="2"/>
    <s v="Supermarket Type1"/>
    <n v="838.908"/>
    <x v="1"/>
  </r>
  <r>
    <s v="FDV10"/>
    <n v="7.645"/>
    <s v="Regular"/>
    <n v="0.06669343699999999"/>
    <x v="6"/>
    <n v="42.3112"/>
    <s v="OUT035"/>
    <x v="8"/>
    <s v="Small"/>
    <x v="2"/>
    <s v="Supermarket Type1"/>
    <n v="1065.28"/>
    <x v="1"/>
  </r>
  <r>
    <s v="DRJ59"/>
    <n v="11.65"/>
    <s v="Low Fat"/>
    <n v="0.019356132"/>
    <x v="10"/>
    <n v="39.1164"/>
    <s v="OUT013"/>
    <x v="3"/>
    <s v="High"/>
    <x v="1"/>
    <s v="Supermarket Type1"/>
    <n v="308.9312"/>
    <x v="1"/>
  </r>
  <r>
    <s v="FDE51"/>
    <n v="5.925"/>
    <s v="Regular"/>
    <n v="0.161466534"/>
    <x v="0"/>
    <n v="45.5086"/>
    <s v="OUT010"/>
    <x v="2"/>
    <s v="High"/>
    <x v="1"/>
    <s v="Grocery Store"/>
    <n v="178.4344"/>
    <x v="1"/>
  </r>
  <r>
    <s v="FDC14"/>
    <m/>
    <s v="Regular"/>
    <n v="0.072221801"/>
    <x v="11"/>
    <n v="43.6454"/>
    <s v="OUT019"/>
    <x v="4"/>
    <s v="Small"/>
    <x v="0"/>
    <s v="Grocery Store"/>
    <n v="125.8362"/>
    <x v="1"/>
  </r>
  <r>
    <s v="FDV38"/>
    <n v="19.25"/>
    <s v="Low Fat"/>
    <n v="0.170348551"/>
    <x v="0"/>
    <n v="55.7956"/>
    <s v="OUT010"/>
    <x v="2"/>
    <s v="Medium"/>
    <x v="1"/>
    <s v="Grocery Store"/>
    <n v="163.7868"/>
    <x v="1"/>
  </r>
  <r>
    <s v="NCS17"/>
    <n v="18.6"/>
    <s v="Low Fat"/>
    <n v="0.080829372"/>
    <x v="9"/>
    <n v="96.4436"/>
    <s v="OUT018"/>
    <x v="1"/>
    <s v="Medium"/>
    <x v="1"/>
    <s v="Supermarket Type2"/>
    <n v="2741.7644"/>
    <x v="2"/>
  </r>
  <r>
    <s v="FDP33"/>
    <n v="18.7"/>
    <s v="Low Fat"/>
    <n v="0"/>
    <x v="6"/>
    <n v="256.6672"/>
    <s v="OUT018"/>
    <x v="1"/>
    <s v="Medium"/>
    <x v="1"/>
    <s v="Supermarket Type2"/>
    <n v="3068.0064"/>
    <x v="0"/>
  </r>
  <r>
    <s v="FDO23"/>
    <n v="17.85"/>
    <s v="Low Fat"/>
    <n v="0"/>
    <x v="12"/>
    <n v="93.14360000000001"/>
    <s v="OUT045"/>
    <x v="5"/>
    <s v="Medium"/>
    <x v="2"/>
    <s v="Supermarket Type1"/>
    <n v="2174.5028"/>
    <x v="2"/>
  </r>
  <r>
    <s v="DRH01"/>
    <n v="17.5"/>
    <s v="Low Fat"/>
    <n v="0.097904029"/>
    <x v="1"/>
    <n v="174.8738"/>
    <s v="OUT046"/>
    <x v="7"/>
    <s v="Small"/>
    <x v="0"/>
    <s v="Supermarket Type1"/>
    <n v="2085.2856"/>
    <x v="2"/>
  </r>
  <r>
    <s v="NCX29"/>
    <n v="10"/>
    <s v="Low Fat"/>
    <n v="0.08929113700000001"/>
    <x v="9"/>
    <n v="146.7102"/>
    <s v="OUT049"/>
    <x v="0"/>
    <s v="Medium"/>
    <x v="0"/>
    <s v="Supermarket Type1"/>
    <n v="3791.0652"/>
    <x v="0"/>
  </r>
  <r>
    <s v="FDV20"/>
    <m/>
    <s v="Regular"/>
    <n v="0.059511812"/>
    <x v="3"/>
    <n v="128.0678"/>
    <s v="OUT027"/>
    <x v="4"/>
    <s v="Medium"/>
    <x v="1"/>
    <s v="Supermarket Type3"/>
    <n v="2797.6916"/>
    <x v="2"/>
  </r>
  <r>
    <s v="DRZ11"/>
    <n v="8.85"/>
    <s v="Regular"/>
    <n v="0.113123893"/>
    <x v="1"/>
    <n v="122.5388"/>
    <s v="OUT018"/>
    <x v="1"/>
    <s v="Medium"/>
    <x v="1"/>
    <s v="Supermarket Type2"/>
    <n v="1609.9044"/>
    <x v="2"/>
  </r>
  <r>
    <s v="FDX10"/>
    <m/>
    <s v="Regular"/>
    <n v="0.123111453"/>
    <x v="6"/>
    <n v="36.9874"/>
    <s v="OUT027"/>
    <x v="4"/>
    <s v="Medium"/>
    <x v="1"/>
    <s v="Supermarket Type3"/>
    <n v="388.1614"/>
    <x v="1"/>
  </r>
  <r>
    <s v="FDB34"/>
    <m/>
    <s v="Low Fat"/>
    <n v="0.026480954"/>
    <x v="6"/>
    <n v="87.6198"/>
    <s v="OUT027"/>
    <x v="4"/>
    <s v="Medium"/>
    <x v="1"/>
    <s v="Supermarket Type3"/>
    <n v="2180.495"/>
    <x v="2"/>
  </r>
  <r>
    <s v="FDU02"/>
    <n v="13.35"/>
    <s v="Low Fat"/>
    <n v="0.102511504"/>
    <x v="0"/>
    <n v="230.6352"/>
    <s v="OUT046"/>
    <x v="7"/>
    <s v="Small"/>
    <x v="0"/>
    <s v="Supermarket Type1"/>
    <n v="3435.528"/>
    <x v="0"/>
  </r>
  <r>
    <s v="FDK43"/>
    <n v="9.800000000000001"/>
    <s v="Low Fat"/>
    <n v="0.02681843"/>
    <x v="2"/>
    <n v="126.002"/>
    <s v="OUT013"/>
    <x v="3"/>
    <s v="High"/>
    <x v="1"/>
    <s v="Supermarket Type1"/>
    <n v="2150.534"/>
    <x v="2"/>
  </r>
  <r>
    <s v="FDA46"/>
    <n v="13.6"/>
    <s v="Low Fat"/>
    <n v="0.117818348"/>
    <x v="6"/>
    <n v="192.9136"/>
    <s v="OUT049"/>
    <x v="0"/>
    <s v="Medium"/>
    <x v="0"/>
    <s v="Supermarket Type1"/>
    <n v="2527.3768"/>
    <x v="2"/>
  </r>
  <r>
    <s v="FDC02"/>
    <n v="21.35"/>
    <s v="Low Fat"/>
    <n v="0.069102831"/>
    <x v="11"/>
    <n v="259.9278"/>
    <s v="OUT018"/>
    <x v="1"/>
    <s v="Medium"/>
    <x v="1"/>
    <s v="Supermarket Type2"/>
    <n v="6768.5228"/>
    <x v="0"/>
  </r>
  <r>
    <s v="FDL50"/>
    <n v="12.15"/>
    <s v="Regular"/>
    <n v="0.042277867"/>
    <x v="11"/>
    <n v="126.5046"/>
    <s v="OUT013"/>
    <x v="3"/>
    <s v="High"/>
    <x v="1"/>
    <s v="Supermarket Type1"/>
    <n v="373.5138"/>
    <x v="1"/>
  </r>
  <r>
    <s v="FDM39"/>
    <n v="6.42"/>
    <s v="Low Fat"/>
    <n v="0.08949892600000001"/>
    <x v="0"/>
    <n v="178.1002"/>
    <s v="OUT010"/>
    <x v="2"/>
    <s v="High"/>
    <x v="1"/>
    <s v="Grocery Store"/>
    <n v="358.2004"/>
    <x v="1"/>
  </r>
  <r>
    <s v="NCP05"/>
    <n v="19.6"/>
    <s v="Low Fat"/>
    <n v="0"/>
    <x v="9"/>
    <n v="153.3024"/>
    <s v="OUT045"/>
    <x v="5"/>
    <s v="High"/>
    <x v="2"/>
    <s v="Supermarket Type1"/>
    <n v="2428.8384"/>
    <x v="2"/>
  </r>
  <r>
    <s v="FDV49"/>
    <n v="10"/>
    <s v="Low Fat"/>
    <n v="0.025879577"/>
    <x v="11"/>
    <n v="265.2226"/>
    <s v="OUT045"/>
    <x v="5"/>
    <s v="High"/>
    <x v="2"/>
    <s v="Supermarket Type1"/>
    <n v="5815.0972"/>
    <x v="0"/>
  </r>
  <r>
    <s v="FDL12"/>
    <n v="15.85"/>
    <s v="Regular"/>
    <n v="0.121632721"/>
    <x v="5"/>
    <n v="60.622"/>
    <s v="OUT046"/>
    <x v="7"/>
    <s v="Small"/>
    <x v="0"/>
    <s v="Supermarket Type1"/>
    <n v="2576.646"/>
    <x v="2"/>
  </r>
  <r>
    <s v="FDS02"/>
    <m/>
    <s v="Regular"/>
    <n v="0.255394896"/>
    <x v="0"/>
    <n v="196.8794"/>
    <s v="OUT019"/>
    <x v="4"/>
    <s v="Small"/>
    <x v="0"/>
    <s v="Grocery Store"/>
    <n v="780.3176"/>
    <x v="1"/>
  </r>
  <r>
    <s v="NCL17"/>
    <n v="7.39"/>
    <s v="Low Fat"/>
    <n v="0.06777971200000001"/>
    <x v="9"/>
    <n v="143.8812"/>
    <s v="OUT046"/>
    <x v="7"/>
    <s v="Small"/>
    <x v="0"/>
    <s v="Supermarket Type1"/>
    <n v="3134.5864"/>
    <x v="0"/>
  </r>
  <r>
    <s v="FDM40"/>
    <n v="10.195"/>
    <s v="Low Fat"/>
    <n v="0.159803853"/>
    <x v="7"/>
    <n v="141.5154"/>
    <s v="OUT013"/>
    <x v="3"/>
    <s v="High"/>
    <x v="1"/>
    <s v="Supermarket Type1"/>
    <n v="850.8924"/>
    <x v="1"/>
  </r>
  <r>
    <s v="FDR13"/>
    <n v="9.895"/>
    <s v="Regular"/>
    <n v="0.028696932"/>
    <x v="11"/>
    <n v="117.0492"/>
    <s v="OUT013"/>
    <x v="3"/>
    <s v="High"/>
    <x v="1"/>
    <s v="Supermarket Type1"/>
    <n v="810.9444"/>
    <x v="1"/>
  </r>
  <r>
    <s v="FDA43"/>
    <n v="10.895"/>
    <s v="Low Fat"/>
    <n v="0.065041581"/>
    <x v="3"/>
    <n v="196.3794"/>
    <s v="OUT017"/>
    <x v="6"/>
    <s v="High"/>
    <x v="2"/>
    <s v="Supermarket Type1"/>
    <n v="3121.2704"/>
    <x v="0"/>
  </r>
  <r>
    <s v="NCP18"/>
    <n v="12.15"/>
    <s v="Low Fat"/>
    <n v="0.028760013"/>
    <x v="4"/>
    <n v="151.4708"/>
    <s v="OUT017"/>
    <x v="6"/>
    <s v="High"/>
    <x v="2"/>
    <s v="Supermarket Type1"/>
    <n v="4815.0656"/>
    <x v="0"/>
  </r>
  <r>
    <s v="FDK21"/>
    <n v="7.905"/>
    <s v="Low Fat"/>
    <n v="0.010053105"/>
    <x v="6"/>
    <n v="249.0408"/>
    <s v="OUT018"/>
    <x v="1"/>
    <s v="Medium"/>
    <x v="1"/>
    <s v="Supermarket Type2"/>
    <n v="6258.52"/>
    <x v="0"/>
  </r>
  <r>
    <s v="NCX54"/>
    <n v="9.195"/>
    <s v="Low Fat"/>
    <n v="0.048157338"/>
    <x v="4"/>
    <n v="106.1622"/>
    <s v="OUT045"/>
    <x v="5"/>
    <s v="Medium"/>
    <x v="2"/>
    <s v="Supermarket Type1"/>
    <n v="2117.244"/>
    <x v="2"/>
  </r>
  <r>
    <s v="DRK35"/>
    <n v="8.365"/>
    <s v="Low Fat"/>
    <n v="0.071958197"/>
    <x v="10"/>
    <n v="38.0506"/>
    <s v="OUT049"/>
    <x v="0"/>
    <s v="Medium"/>
    <x v="0"/>
    <s v="Supermarket Type1"/>
    <n v="796.9626"/>
    <x v="1"/>
  </r>
  <r>
    <s v="FDY21"/>
    <n v="15.1"/>
    <s v="Low Fat"/>
    <n v="0.173481304"/>
    <x v="6"/>
    <n v="194.511"/>
    <s v="OUT046"/>
    <x v="7"/>
    <s v="Small"/>
    <x v="0"/>
    <s v="Supermarket Type1"/>
    <n v="4910.275"/>
    <x v="0"/>
  </r>
  <r>
    <s v="FDI26"/>
    <m/>
    <s v="Low Fat"/>
    <n v="0.061082177"/>
    <x v="11"/>
    <n v="180.0344"/>
    <s v="OUT019"/>
    <x v="4"/>
    <s v="Small"/>
    <x v="0"/>
    <s v="Grocery Store"/>
    <n v="892.172"/>
    <x v="1"/>
  </r>
  <r>
    <s v="FDM20"/>
    <n v="10"/>
    <s v="Low Fat"/>
    <n v="0"/>
    <x v="3"/>
    <n v="246.9144"/>
    <s v="OUT018"/>
    <x v="1"/>
    <s v="Medium"/>
    <x v="1"/>
    <s v="Supermarket Type2"/>
    <n v="3185.1872"/>
    <x v="0"/>
  </r>
  <r>
    <s v="FDV27"/>
    <n v="7.97"/>
    <s v="Regular"/>
    <n v="0.040071131"/>
    <x v="2"/>
    <n v="87.3514"/>
    <s v="OUT045"/>
    <x v="5"/>
    <s v="Medium"/>
    <x v="2"/>
    <s v="Supermarket Type1"/>
    <n v="1062.6168"/>
    <x v="1"/>
  </r>
  <r>
    <s v="FDF09"/>
    <m/>
    <s v="Low Fat"/>
    <n v="0.012090074"/>
    <x v="3"/>
    <n v="38.2848"/>
    <s v="OUT027"/>
    <x v="4"/>
    <s v="Medium"/>
    <x v="1"/>
    <s v="Supermarket Type3"/>
    <n v="484.7024"/>
    <x v="1"/>
  </r>
  <r>
    <s v="FDY40"/>
    <m/>
    <s v="Regular"/>
    <n v="0.15028599"/>
    <x v="7"/>
    <n v="51.0692"/>
    <s v="OUT019"/>
    <x v="4"/>
    <s v="Small"/>
    <x v="0"/>
    <s v="Grocery Store"/>
    <n v="147.8076"/>
    <x v="1"/>
  </r>
  <r>
    <s v="FDY45"/>
    <m/>
    <s v="Low Fat"/>
    <n v="0.026015519"/>
    <x v="6"/>
    <n v="255.8356"/>
    <s v="OUT027"/>
    <x v="4"/>
    <s v="Medium"/>
    <x v="1"/>
    <s v="Supermarket Type3"/>
    <n v="2543.356"/>
    <x v="2"/>
  </r>
  <r>
    <s v="FDC46"/>
    <n v="17.7"/>
    <s v="Low Fat"/>
    <n v="0.195068226"/>
    <x v="6"/>
    <n v="185.4266"/>
    <s v="OUT010"/>
    <x v="2"/>
    <s v="Medium"/>
    <x v="1"/>
    <s v="Grocery Store"/>
    <n v="184.4266"/>
    <x v="1"/>
  </r>
  <r>
    <s v="FDH19"/>
    <n v="19.35"/>
    <s v="Low Fat"/>
    <n v="0.033082215"/>
    <x v="2"/>
    <n v="172.5738"/>
    <s v="OUT035"/>
    <x v="8"/>
    <s v="Small"/>
    <x v="2"/>
    <s v="Supermarket Type1"/>
    <n v="4865.6664"/>
    <x v="0"/>
  </r>
  <r>
    <s v="FDZ03"/>
    <n v="13.65"/>
    <s v="Regular"/>
    <n v="0.078946455"/>
    <x v="0"/>
    <n v="186.024"/>
    <s v="OUT045"/>
    <x v="5"/>
    <s v="Small"/>
    <x v="2"/>
    <s v="Supermarket Type1"/>
    <n v="1118.544"/>
    <x v="1"/>
  </r>
  <r>
    <s v="DRH37"/>
    <n v="17.6"/>
    <s v="Low Fat"/>
    <n v="0.041700756"/>
    <x v="1"/>
    <n v="164.8526"/>
    <s v="OUT045"/>
    <x v="5"/>
    <s v="Small"/>
    <x v="2"/>
    <s v="Supermarket Type1"/>
    <n v="2302.3364"/>
    <x v="2"/>
  </r>
  <r>
    <s v="NCI17"/>
    <n v="8.645"/>
    <s v="Low Fat"/>
    <n v="0.143422643"/>
    <x v="9"/>
    <n v="95.84099999999999"/>
    <s v="OUT046"/>
    <x v="7"/>
    <s v="Small"/>
    <x v="0"/>
    <s v="Supermarket Type1"/>
    <n v="2027.361"/>
    <x v="2"/>
  </r>
  <r>
    <s v="FDJ58"/>
    <n v="15.6"/>
    <s v="Regular"/>
    <n v="0.105296072"/>
    <x v="6"/>
    <n v="170.1764"/>
    <s v="OUT046"/>
    <x v="7"/>
    <s v="High"/>
    <x v="0"/>
    <s v="Supermarket Type1"/>
    <n v="3435.528"/>
    <x v="0"/>
  </r>
  <r>
    <s v="FDL12"/>
    <n v="15.85"/>
    <s v="Regular"/>
    <n v="0.121531501"/>
    <x v="5"/>
    <n v="59.222"/>
    <s v="OUT013"/>
    <x v="3"/>
    <s v="High"/>
    <x v="1"/>
    <s v="Supermarket Type1"/>
    <n v="599.22"/>
    <x v="1"/>
  </r>
  <r>
    <s v="FDH35"/>
    <n v="18.25"/>
    <s v="Low Fat"/>
    <n v="0"/>
    <x v="13"/>
    <n v="164.7526"/>
    <s v="OUT045"/>
    <x v="5"/>
    <s v="High"/>
    <x v="2"/>
    <s v="Supermarket Type1"/>
    <n v="4604.6728"/>
    <x v="0"/>
  </r>
  <r>
    <s v="FDG02"/>
    <n v="7.855"/>
    <s v="Low Fat"/>
    <n v="0.011324862"/>
    <x v="11"/>
    <n v="189.6188"/>
    <s v="OUT017"/>
    <x v="6"/>
    <s v="High"/>
    <x v="2"/>
    <s v="Supermarket Type1"/>
    <n v="2285.0256"/>
    <x v="2"/>
  </r>
  <r>
    <s v="NCZ18"/>
    <n v="7.825"/>
    <s v="Low Fat"/>
    <n v="0.186357148"/>
    <x v="4"/>
    <n v="254.3698"/>
    <s v="OUT049"/>
    <x v="0"/>
    <s v="Medium"/>
    <x v="0"/>
    <s v="Supermarket Type1"/>
    <n v="5580.7356"/>
    <x v="0"/>
  </r>
  <r>
    <s v="FDC29"/>
    <n v="8.390000000000001"/>
    <s v="Regular"/>
    <n v="0.024205661"/>
    <x v="7"/>
    <n v="114.0176"/>
    <s v="OUT046"/>
    <x v="7"/>
    <s v="Small"/>
    <x v="0"/>
    <s v="Supermarket Type1"/>
    <n v="2290.352"/>
    <x v="2"/>
  </r>
  <r>
    <s v="FDQ10"/>
    <n v="12.85"/>
    <s v="Low Fat"/>
    <n v="0.033230816"/>
    <x v="6"/>
    <n v="172.3422"/>
    <s v="OUT049"/>
    <x v="0"/>
    <s v="Medium"/>
    <x v="0"/>
    <s v="Supermarket Type1"/>
    <n v="1207.0954"/>
    <x v="1"/>
  </r>
  <r>
    <s v="FDN48"/>
    <m/>
    <s v="Low Fat"/>
    <n v="0.113720344"/>
    <x v="5"/>
    <n v="89.9804"/>
    <s v="OUT019"/>
    <x v="4"/>
    <s v="Small"/>
    <x v="0"/>
    <s v="Grocery Store"/>
    <n v="643.1627999999999"/>
    <x v="1"/>
  </r>
  <r>
    <s v="FDL04"/>
    <n v="19"/>
    <s v="Low Fat"/>
    <n v="0.112556507"/>
    <x v="7"/>
    <n v="104.9622"/>
    <s v="OUT017"/>
    <x v="6"/>
    <s v="Small"/>
    <x v="2"/>
    <s v="Supermarket Type1"/>
    <n v="1587.933"/>
    <x v="2"/>
  </r>
  <r>
    <s v="FDV25"/>
    <n v="5.905"/>
    <s v="Low Fat"/>
    <n v="0"/>
    <x v="11"/>
    <n v="222.5456"/>
    <s v="OUT045"/>
    <x v="5"/>
    <s v="Small"/>
    <x v="2"/>
    <s v="Supermarket Type1"/>
    <n v="5305.0944"/>
    <x v="0"/>
  </r>
  <r>
    <s v="FDD58"/>
    <n v="7.76"/>
    <s v="Low Fat"/>
    <n v="0.059352241"/>
    <x v="6"/>
    <n v="101.87"/>
    <s v="OUT046"/>
    <x v="7"/>
    <s v="Small"/>
    <x v="0"/>
    <s v="Supermarket Type1"/>
    <n v="1697.79"/>
    <x v="2"/>
  </r>
  <r>
    <s v="FDN04"/>
    <n v="11.8"/>
    <s v="Regular"/>
    <n v="0.014087057"/>
    <x v="7"/>
    <n v="180.3344"/>
    <s v="OUT046"/>
    <x v="7"/>
    <s v="Small"/>
    <x v="0"/>
    <s v="Supermarket Type1"/>
    <n v="1427.4752"/>
    <x v="1"/>
  </r>
  <r>
    <s v="FDV45"/>
    <n v="16.75"/>
    <s v="Low Fat"/>
    <n v="0.045230944"/>
    <x v="6"/>
    <n v="187.9556"/>
    <s v="OUT018"/>
    <x v="1"/>
    <s v="Medium"/>
    <x v="1"/>
    <s v="Supermarket Type2"/>
    <n v="4693.89"/>
    <x v="0"/>
  </r>
  <r>
    <s v="NCL18"/>
    <m/>
    <s v="Low Fat"/>
    <n v="0.293417759"/>
    <x v="4"/>
    <n v="194.6136"/>
    <s v="OUT019"/>
    <x v="4"/>
    <s v="Small"/>
    <x v="0"/>
    <s v="Grocery Store"/>
    <n v="583.2408"/>
    <x v="1"/>
  </r>
  <r>
    <s v="FDR12"/>
    <m/>
    <s v="Regular"/>
    <n v="0.031382044"/>
    <x v="5"/>
    <n v="171.3764"/>
    <s v="OUT027"/>
    <x v="4"/>
    <s v="Medium"/>
    <x v="1"/>
    <s v="Supermarket Type3"/>
    <n v="3091.9752"/>
    <x v="0"/>
  </r>
  <r>
    <s v="FDG20"/>
    <n v="15.5"/>
    <s v="Regular"/>
    <n v="0.12639886"/>
    <x v="3"/>
    <n v="177.0028"/>
    <s v="OUT017"/>
    <x v="6"/>
    <s v="Medium"/>
    <x v="2"/>
    <s v="Supermarket Type1"/>
    <n v="2479.4392"/>
    <x v="2"/>
  </r>
  <r>
    <s v="FDZ55"/>
    <n v="6.055"/>
    <s v="Low Fat"/>
    <n v="0.025403898"/>
    <x v="3"/>
    <n v="160.992"/>
    <s v="OUT035"/>
    <x v="8"/>
    <s v="Small"/>
    <x v="2"/>
    <s v="Supermarket Type1"/>
    <n v="2716.464"/>
    <x v="2"/>
  </r>
  <r>
    <s v="FDQ49"/>
    <m/>
    <s v="Regular"/>
    <n v="0.039057677"/>
    <x v="8"/>
    <n v="155.963"/>
    <s v="OUT027"/>
    <x v="4"/>
    <s v="Medium"/>
    <x v="1"/>
    <s v="Supermarket Type3"/>
    <n v="3285.723"/>
    <x v="0"/>
  </r>
  <r>
    <s v="FDN33"/>
    <n v="6.305"/>
    <s v="Regular"/>
    <n v="0.123115764"/>
    <x v="6"/>
    <n v="95.64360000000001"/>
    <s v="OUT046"/>
    <x v="7"/>
    <s v="Small"/>
    <x v="0"/>
    <s v="Supermarket Type1"/>
    <n v="661.8052"/>
    <x v="1"/>
  </r>
  <r>
    <s v="FDN27"/>
    <n v="20.85"/>
    <s v="Low Fat"/>
    <n v="0.039624006"/>
    <x v="2"/>
    <n v="117.2808"/>
    <s v="OUT049"/>
    <x v="0"/>
    <s v="Medium"/>
    <x v="0"/>
    <s v="Supermarket Type1"/>
    <n v="1523.3504"/>
    <x v="2"/>
  </r>
  <r>
    <s v="FDW20"/>
    <n v="20.75"/>
    <s v="Low Fat"/>
    <n v="0.040421193"/>
    <x v="3"/>
    <n v="122.173"/>
    <s v="OUT010"/>
    <x v="2"/>
    <s v="Medium"/>
    <x v="1"/>
    <s v="Grocery Store"/>
    <n v="369.519"/>
    <x v="1"/>
  </r>
  <r>
    <s v="DRG27"/>
    <n v="8.895"/>
    <s v="Low Fat"/>
    <n v="0.105274111"/>
    <x v="0"/>
    <n v="39.9138"/>
    <s v="OUT049"/>
    <x v="0"/>
    <s v="Medium"/>
    <x v="0"/>
    <s v="Supermarket Type1"/>
    <n v="690.4346"/>
    <x v="1"/>
  </r>
  <r>
    <s v="DRI25"/>
    <n v="19.6"/>
    <s v="Low Fat"/>
    <n v="0.033970195"/>
    <x v="1"/>
    <n v="55.1614"/>
    <s v="OUT045"/>
    <x v="5"/>
    <s v="Medium"/>
    <x v="2"/>
    <s v="Supermarket Type1"/>
    <n v="1381.535"/>
    <x v="1"/>
  </r>
  <r>
    <s v="FDA44"/>
    <n v="19.7"/>
    <s v="Low Fat"/>
    <n v="0.053212652"/>
    <x v="3"/>
    <n v="57.893"/>
    <s v="OUT035"/>
    <x v="8"/>
    <s v="Small"/>
    <x v="2"/>
    <s v="Supermarket Type1"/>
    <n v="622.523"/>
    <x v="1"/>
  </r>
  <r>
    <s v="NCR17"/>
    <n v="9.800000000000001"/>
    <s v="Low Fat"/>
    <n v="0.024378706"/>
    <x v="9"/>
    <n v="114.5492"/>
    <s v="OUT035"/>
    <x v="8"/>
    <s v="Small"/>
    <x v="2"/>
    <s v="Supermarket Type1"/>
    <n v="1274.3412"/>
    <x v="1"/>
  </r>
  <r>
    <s v="FDU04"/>
    <m/>
    <s v="Low Fat"/>
    <n v="0.009714594999999999"/>
    <x v="7"/>
    <n v="120.0414"/>
    <s v="OUT019"/>
    <x v="4"/>
    <s v="Small"/>
    <x v="0"/>
    <s v="Grocery Store"/>
    <n v="487.3656"/>
    <x v="1"/>
  </r>
  <r>
    <s v="FDF41"/>
    <n v="12.15"/>
    <s v="Low Fat"/>
    <n v="0.131383762"/>
    <x v="7"/>
    <n v="246.046"/>
    <s v="OUT049"/>
    <x v="0"/>
    <s v="Medium"/>
    <x v="0"/>
    <s v="Supermarket Type1"/>
    <n v="1231.73"/>
    <x v="1"/>
  </r>
  <r>
    <s v="FDB56"/>
    <n v="8.75"/>
    <s v="Regular"/>
    <n v="0.07461309000000001"/>
    <x v="3"/>
    <n v="187.4556"/>
    <s v="OUT035"/>
    <x v="8"/>
    <s v="Small"/>
    <x v="2"/>
    <s v="Supermarket Type1"/>
    <n v="3755.112"/>
    <x v="0"/>
  </r>
  <r>
    <s v="NCP18"/>
    <m/>
    <s v="Low Fat"/>
    <n v="0.028459761"/>
    <x v="4"/>
    <n v="149.9708"/>
    <s v="OUT027"/>
    <x v="4"/>
    <s v="Medium"/>
    <x v="1"/>
    <s v="Supermarket Type3"/>
    <n v="4363.6532"/>
    <x v="0"/>
  </r>
  <r>
    <s v="FDB56"/>
    <n v="8.75"/>
    <s v="Regular"/>
    <n v="0.074627201"/>
    <x v="3"/>
    <n v="187.8556"/>
    <s v="OUT046"/>
    <x v="7"/>
    <s v="Small"/>
    <x v="0"/>
    <s v="Supermarket Type1"/>
    <n v="1314.2892"/>
    <x v="1"/>
  </r>
  <r>
    <s v="FDT28"/>
    <n v="13.3"/>
    <s v="Low Fat"/>
    <n v="0.063695084"/>
    <x v="7"/>
    <n v="151.0708"/>
    <s v="OUT045"/>
    <x v="5"/>
    <s v="Small"/>
    <x v="2"/>
    <s v="Supermarket Type1"/>
    <n v="1805.6496"/>
    <x v="2"/>
  </r>
  <r>
    <s v="FDD10"/>
    <m/>
    <s v="Regular"/>
    <n v="0.045797829"/>
    <x v="6"/>
    <n v="178.5344"/>
    <s v="OUT027"/>
    <x v="4"/>
    <s v="Medium"/>
    <x v="1"/>
    <s v="Supermarket Type3"/>
    <n v="2854.9504"/>
    <x v="2"/>
  </r>
  <r>
    <s v="FDW57"/>
    <n v="8.31"/>
    <s v="Regular"/>
    <n v="0.115857223"/>
    <x v="6"/>
    <n v="179.1028"/>
    <s v="OUT049"/>
    <x v="0"/>
    <s v="Medium"/>
    <x v="0"/>
    <s v="Supermarket Type1"/>
    <n v="3896.2616"/>
    <x v="0"/>
  </r>
  <r>
    <s v="DRB48"/>
    <n v="16.75"/>
    <s v="Regular"/>
    <n v="0.024832806"/>
    <x v="1"/>
    <n v="38.7822"/>
    <s v="OUT013"/>
    <x v="3"/>
    <s v="High"/>
    <x v="1"/>
    <s v="Supermarket Type1"/>
    <n v="667.7974"/>
    <x v="1"/>
  </r>
  <r>
    <s v="FDP09"/>
    <n v="19.75"/>
    <s v="Low Fat"/>
    <n v="0.034027909"/>
    <x v="6"/>
    <n v="212.0902"/>
    <s v="OUT018"/>
    <x v="1"/>
    <s v="Medium"/>
    <x v="1"/>
    <s v="Supermarket Type2"/>
    <n v="3185.853"/>
    <x v="0"/>
  </r>
  <r>
    <s v="FDH14"/>
    <n v="17.1"/>
    <s v="Regular"/>
    <n v="0.0467696"/>
    <x v="11"/>
    <n v="141.1838"/>
    <s v="OUT013"/>
    <x v="3"/>
    <s v="High"/>
    <x v="1"/>
    <s v="Supermarket Type1"/>
    <n v="2247.7408"/>
    <x v="2"/>
  </r>
  <r>
    <s v="FDA47"/>
    <n v="10.5"/>
    <s v="Regular"/>
    <n v="0.116576702"/>
    <x v="5"/>
    <n v="163.121"/>
    <s v="OUT013"/>
    <x v="3"/>
    <s v="High"/>
    <x v="1"/>
    <s v="Supermarket Type1"/>
    <n v="1794.331"/>
    <x v="2"/>
  </r>
  <r>
    <s v="FDG12"/>
    <n v="6.635"/>
    <s v="Regular"/>
    <n v="0"/>
    <x v="5"/>
    <n v="121.3098"/>
    <s v="OUT045"/>
    <x v="5"/>
    <s v="High"/>
    <x v="2"/>
    <s v="Supermarket Type1"/>
    <n v="2530.7058"/>
    <x v="2"/>
  </r>
  <r>
    <s v="DRE60"/>
    <m/>
    <s v="Low Fat"/>
    <n v="0.278974075"/>
    <x v="1"/>
    <n v="225.372"/>
    <s v="OUT019"/>
    <x v="4"/>
    <s v="Small"/>
    <x v="0"/>
    <s v="Grocery Store"/>
    <n v="679.11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1:E21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3"/>
        <item x="7"/>
        <item x="2"/>
        <item x="0"/>
        <item x="5"/>
        <item x="8"/>
        <item x="6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Item_Outlet_Sales" fld="1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Item_Outlet_Sales" fld="1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B25" firstHeaderRow="1" firstDataRow="1" firstDataCol="1"/>
  <pivotFields count="13">
    <pivotField showAll="0"/>
    <pivotField showAll="0"/>
    <pivotField showAll="0"/>
    <pivotField showAll="0"/>
    <pivotField axis="axisRow" showAll="0">
      <items count="15">
        <item x="5"/>
        <item x="12"/>
        <item x="8"/>
        <item x="11"/>
        <item x="0"/>
        <item x="7"/>
        <item x="3"/>
        <item x="10"/>
        <item x="9"/>
        <item x="4"/>
        <item x="2"/>
        <item x="6"/>
        <item x="1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Item_Outlet_Sales" fld="1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H8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axis="axisCol" showAll="0">
      <items count="4">
        <item x="0"/>
        <item x="1"/>
        <item x="2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Sum of Item_Outlet_Sales" fld="1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110" totalsRowShown="0" headerRowDxfId="14" dataDxfId="13">
  <autoFilter ref="A1:M110" xr:uid="{00000000-0009-0000-0100-000001000000}"/>
  <tableColumns count="13">
    <tableColumn id="1" xr3:uid="{00000000-0010-0000-0000-000001000000}" name="Item_Identifier" dataDxfId="12"/>
    <tableColumn id="2" xr3:uid="{00000000-0010-0000-0000-000002000000}" name="Item_Weight" dataDxfId="11"/>
    <tableColumn id="3" xr3:uid="{00000000-0010-0000-0000-000003000000}" name="Item_Fat_Content" dataDxfId="10"/>
    <tableColumn id="4" xr3:uid="{00000000-0010-0000-0000-000004000000}" name="Item_Visibility" dataDxfId="9"/>
    <tableColumn id="5" xr3:uid="{00000000-0010-0000-0000-000005000000}" name="Item_Type" dataDxfId="8"/>
    <tableColumn id="6" xr3:uid="{00000000-0010-0000-0000-000006000000}" name="Item_MRP" dataDxfId="7"/>
    <tableColumn id="7" xr3:uid="{00000000-0010-0000-0000-000007000000}" name="Outlet_Identifier" dataDxfId="6"/>
    <tableColumn id="8" xr3:uid="{00000000-0010-0000-0000-000008000000}" name="Outlet_Establishment_Year" dataDxfId="5"/>
    <tableColumn id="9" xr3:uid="{00000000-0010-0000-0000-000009000000}" name="Outlet_Size" dataDxfId="4"/>
    <tableColumn id="10" xr3:uid="{00000000-0010-0000-0000-00000A000000}" name="Outlet_Location_Type" dataDxfId="3"/>
    <tableColumn id="11" xr3:uid="{00000000-0010-0000-0000-00000B000000}" name="Outlet_Type" dataDxfId="2"/>
    <tableColumn id="12" xr3:uid="{00000000-0010-0000-0000-00000C000000}" name="Item_Outlet_Sales" dataDxfId="1"/>
    <tableColumn id="13" xr3:uid="{00000000-0010-0000-0000-00000D000000}" name="Sales Performance" dataDxfId="0">
      <calculatedColumnFormula>IF(Table1[[#This Row],[Item_Outlet_Sales]]&gt;=3000,"High Sales",IF(Table1[[#This Row],[Item_Outlet_Sales]]&gt;=1500,"Medium Sales","Low Sales"))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0"/>
  <sheetViews>
    <sheetView tabSelected="1" zoomScale="90" zoomScaleNormal="90" workbookViewId="0">
      <selection activeCell="D24" sqref="D24"/>
    </sheetView>
  </sheetViews>
  <sheetFormatPr defaultRowHeight="14.4" x14ac:dyDescent="0.3"/>
  <cols>
    <col min="1" max="1" width="15.88671875" bestFit="1" customWidth="1"/>
    <col min="2" max="2" width="14.109375" bestFit="1" customWidth="1"/>
    <col min="3" max="3" width="18.5546875" bestFit="1" customWidth="1"/>
    <col min="4" max="4" width="15.109375" bestFit="1" customWidth="1"/>
    <col min="5" max="5" width="18.44140625" bestFit="1" customWidth="1"/>
    <col min="6" max="6" width="12.109375" bestFit="1" customWidth="1"/>
    <col min="7" max="7" width="17.21875" bestFit="1" customWidth="1"/>
    <col min="8" max="8" width="26.21875" bestFit="1" customWidth="1"/>
    <col min="9" max="9" width="12.6640625" bestFit="1" customWidth="1"/>
    <col min="10" max="10" width="22" bestFit="1" customWidth="1"/>
    <col min="11" max="11" width="16.77734375" bestFit="1" customWidth="1"/>
    <col min="12" max="12" width="18.6640625" bestFit="1" customWidth="1"/>
    <col min="13" max="13" width="19.88671875" bestFit="1" customWidth="1"/>
  </cols>
  <sheetData>
    <row r="1" spans="1:13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</row>
    <row r="2" spans="1:13" x14ac:dyDescent="0.3">
      <c r="A2" t="s">
        <v>37</v>
      </c>
      <c r="B2">
        <v>9.3000000000000007</v>
      </c>
      <c r="C2" t="s">
        <v>38</v>
      </c>
      <c r="D2">
        <v>1.6047301E-2</v>
      </c>
      <c r="E2" t="s">
        <v>14</v>
      </c>
      <c r="F2">
        <v>249.8092</v>
      </c>
      <c r="G2" t="s">
        <v>39</v>
      </c>
      <c r="H2">
        <v>1999</v>
      </c>
      <c r="I2" t="s">
        <v>40</v>
      </c>
      <c r="J2" t="s">
        <v>3</v>
      </c>
      <c r="K2" t="s">
        <v>41</v>
      </c>
      <c r="L2">
        <v>3735.1379999999999</v>
      </c>
      <c r="M2" t="str">
        <f>IF(Table1[[#This Row],[Item_Outlet_Sales]]&gt;=3000,"High Sales",IF(Table1[[#This Row],[Item_Outlet_Sales]]&gt;=1500,"Medium Sales","Low Sales"))</f>
        <v>High Sales</v>
      </c>
    </row>
    <row r="3" spans="1:13" x14ac:dyDescent="0.3">
      <c r="A3" t="s">
        <v>42</v>
      </c>
      <c r="B3">
        <v>5.92</v>
      </c>
      <c r="C3" t="s">
        <v>43</v>
      </c>
      <c r="D3">
        <v>1.9278216000000001E-2</v>
      </c>
      <c r="E3" t="s">
        <v>22</v>
      </c>
      <c r="F3">
        <v>48.269199999999998</v>
      </c>
      <c r="G3" t="s">
        <v>44</v>
      </c>
      <c r="H3">
        <v>2009</v>
      </c>
      <c r="I3" t="s">
        <v>40</v>
      </c>
      <c r="J3" t="s">
        <v>9</v>
      </c>
      <c r="K3" t="s">
        <v>45</v>
      </c>
      <c r="L3">
        <v>443.4228</v>
      </c>
      <c r="M3" t="str">
        <f>IF(Table1[[#This Row],[Item_Outlet_Sales]]&gt;=3000,"High Sales",IF(Table1[[#This Row],[Item_Outlet_Sales]]&gt;=1500,"Medium Sales","Low Sales"))</f>
        <v>Low Sales</v>
      </c>
    </row>
    <row r="4" spans="1:13" x14ac:dyDescent="0.3">
      <c r="A4" t="s">
        <v>46</v>
      </c>
      <c r="B4">
        <v>17.5</v>
      </c>
      <c r="C4" t="s">
        <v>38</v>
      </c>
      <c r="D4">
        <v>1.6760074999999999E-2</v>
      </c>
      <c r="E4" t="s">
        <v>20</v>
      </c>
      <c r="F4">
        <v>141.61799999999999</v>
      </c>
      <c r="G4" t="s">
        <v>39</v>
      </c>
      <c r="H4">
        <v>1999</v>
      </c>
      <c r="I4" t="s">
        <v>40</v>
      </c>
      <c r="J4" t="s">
        <v>3</v>
      </c>
      <c r="K4" t="s">
        <v>41</v>
      </c>
      <c r="L4">
        <v>2097.27</v>
      </c>
      <c r="M4" t="str">
        <f>IF(Table1[[#This Row],[Item_Outlet_Sales]]&gt;=3000,"High Sales",IF(Table1[[#This Row],[Item_Outlet_Sales]]&gt;=1500,"Medium Sales","Low Sales"))</f>
        <v>Medium Sales</v>
      </c>
    </row>
    <row r="5" spans="1:13" x14ac:dyDescent="0.3">
      <c r="A5" t="s">
        <v>47</v>
      </c>
      <c r="B5">
        <v>19.2</v>
      </c>
      <c r="C5" t="s">
        <v>43</v>
      </c>
      <c r="D5">
        <v>0</v>
      </c>
      <c r="E5" t="s">
        <v>16</v>
      </c>
      <c r="F5">
        <v>182.095</v>
      </c>
      <c r="G5" t="s">
        <v>48</v>
      </c>
      <c r="H5">
        <v>1998</v>
      </c>
      <c r="I5" t="s">
        <v>40</v>
      </c>
      <c r="J5" t="s">
        <v>9</v>
      </c>
      <c r="K5" t="s">
        <v>49</v>
      </c>
      <c r="L5">
        <v>732.38</v>
      </c>
      <c r="M5" t="str">
        <f>IF(Table1[[#This Row],[Item_Outlet_Sales]]&gt;=3000,"High Sales",IF(Table1[[#This Row],[Item_Outlet_Sales]]&gt;=1500,"Medium Sales","Low Sales"))</f>
        <v>Low Sales</v>
      </c>
    </row>
    <row r="6" spans="1:13" x14ac:dyDescent="0.3">
      <c r="A6" t="s">
        <v>50</v>
      </c>
      <c r="B6">
        <v>8.93</v>
      </c>
      <c r="C6" t="s">
        <v>38</v>
      </c>
      <c r="D6">
        <v>0</v>
      </c>
      <c r="E6" t="s">
        <v>19</v>
      </c>
      <c r="F6">
        <v>53.861400000000003</v>
      </c>
      <c r="G6" t="s">
        <v>51</v>
      </c>
      <c r="H6">
        <v>1987</v>
      </c>
      <c r="I6" t="s">
        <v>52</v>
      </c>
      <c r="J6" t="s">
        <v>9</v>
      </c>
      <c r="K6" t="s">
        <v>41</v>
      </c>
      <c r="L6">
        <v>994.70519999999999</v>
      </c>
      <c r="M6" t="str">
        <f>IF(Table1[[#This Row],[Item_Outlet_Sales]]&gt;=3000,"High Sales",IF(Table1[[#This Row],[Item_Outlet_Sales]]&gt;=1500,"Medium Sales","Low Sales"))</f>
        <v>Low Sales</v>
      </c>
    </row>
    <row r="7" spans="1:13" x14ac:dyDescent="0.3">
      <c r="A7" t="s">
        <v>53</v>
      </c>
      <c r="B7">
        <v>10.395</v>
      </c>
      <c r="C7" t="s">
        <v>43</v>
      </c>
      <c r="D7">
        <v>0</v>
      </c>
      <c r="E7" t="s">
        <v>10</v>
      </c>
      <c r="F7">
        <v>51.400799999999997</v>
      </c>
      <c r="G7" t="s">
        <v>44</v>
      </c>
      <c r="H7">
        <v>2009</v>
      </c>
      <c r="I7" t="s">
        <v>40</v>
      </c>
      <c r="J7" t="s">
        <v>9</v>
      </c>
      <c r="K7" t="s">
        <v>45</v>
      </c>
      <c r="L7">
        <v>556.60879999999997</v>
      </c>
      <c r="M7" t="str">
        <f>IF(Table1[[#This Row],[Item_Outlet_Sales]]&gt;=3000,"High Sales",IF(Table1[[#This Row],[Item_Outlet_Sales]]&gt;=1500,"Medium Sales","Low Sales"))</f>
        <v>Low Sales</v>
      </c>
    </row>
    <row r="8" spans="1:13" x14ac:dyDescent="0.3">
      <c r="A8" t="s">
        <v>54</v>
      </c>
      <c r="B8">
        <v>13.65</v>
      </c>
      <c r="C8" t="s">
        <v>43</v>
      </c>
      <c r="D8">
        <v>1.2741089000000001E-2</v>
      </c>
      <c r="E8" t="s">
        <v>21</v>
      </c>
      <c r="F8">
        <v>57.658799999999999</v>
      </c>
      <c r="G8" t="s">
        <v>51</v>
      </c>
      <c r="H8">
        <v>1987</v>
      </c>
      <c r="I8" t="s">
        <v>52</v>
      </c>
      <c r="J8" t="s">
        <v>9</v>
      </c>
      <c r="K8" t="s">
        <v>41</v>
      </c>
      <c r="L8">
        <v>343.55279999999999</v>
      </c>
      <c r="M8" t="str">
        <f>IF(Table1[[#This Row],[Item_Outlet_Sales]]&gt;=3000,"High Sales",IF(Table1[[#This Row],[Item_Outlet_Sales]]&gt;=1500,"Medium Sales","Low Sales"))</f>
        <v>Low Sales</v>
      </c>
    </row>
    <row r="9" spans="1:13" x14ac:dyDescent="0.3">
      <c r="A9" t="s">
        <v>55</v>
      </c>
      <c r="C9" t="s">
        <v>38</v>
      </c>
      <c r="D9">
        <v>0.12746985699999999</v>
      </c>
      <c r="E9" t="s">
        <v>21</v>
      </c>
      <c r="F9">
        <v>107.76220000000001</v>
      </c>
      <c r="G9" t="s">
        <v>56</v>
      </c>
      <c r="H9">
        <v>1985</v>
      </c>
      <c r="I9" t="s">
        <v>40</v>
      </c>
      <c r="J9" t="s">
        <v>9</v>
      </c>
      <c r="K9" t="s">
        <v>57</v>
      </c>
      <c r="L9">
        <v>4022.7636000000002</v>
      </c>
      <c r="M9" t="str">
        <f>IF(Table1[[#This Row],[Item_Outlet_Sales]]&gt;=3000,"High Sales",IF(Table1[[#This Row],[Item_Outlet_Sales]]&gt;=1500,"Medium Sales","Low Sales"))</f>
        <v>High Sales</v>
      </c>
    </row>
    <row r="10" spans="1:13" x14ac:dyDescent="0.3">
      <c r="A10" t="s">
        <v>58</v>
      </c>
      <c r="B10">
        <v>16.2</v>
      </c>
      <c r="C10" t="s">
        <v>43</v>
      </c>
      <c r="D10">
        <v>1.6687113999999999E-2</v>
      </c>
      <c r="E10" t="s">
        <v>15</v>
      </c>
      <c r="F10">
        <v>96.9726</v>
      </c>
      <c r="G10" t="s">
        <v>59</v>
      </c>
      <c r="H10">
        <v>2002</v>
      </c>
      <c r="I10" t="s">
        <v>40</v>
      </c>
      <c r="J10" t="s">
        <v>8</v>
      </c>
      <c r="K10" t="s">
        <v>41</v>
      </c>
      <c r="L10">
        <v>1076.5986</v>
      </c>
      <c r="M10" t="str">
        <f>IF(Table1[[#This Row],[Item_Outlet_Sales]]&gt;=3000,"High Sales",IF(Table1[[#This Row],[Item_Outlet_Sales]]&gt;=1500,"Medium Sales","Low Sales"))</f>
        <v>Low Sales</v>
      </c>
    </row>
    <row r="11" spans="1:13" x14ac:dyDescent="0.3">
      <c r="A11" t="s">
        <v>60</v>
      </c>
      <c r="B11">
        <v>19.2</v>
      </c>
      <c r="C11" t="s">
        <v>43</v>
      </c>
      <c r="D11">
        <v>9.444959E-2</v>
      </c>
      <c r="E11" t="s">
        <v>15</v>
      </c>
      <c r="F11">
        <v>187.82140000000001</v>
      </c>
      <c r="G11" t="s">
        <v>61</v>
      </c>
      <c r="H11">
        <v>2007</v>
      </c>
      <c r="I11" t="s">
        <v>40</v>
      </c>
      <c r="J11" t="s">
        <v>8</v>
      </c>
      <c r="K11" t="s">
        <v>41</v>
      </c>
      <c r="L11">
        <v>4710.5349999999999</v>
      </c>
      <c r="M11" t="str">
        <f>IF(Table1[[#This Row],[Item_Outlet_Sales]]&gt;=3000,"High Sales",IF(Table1[[#This Row],[Item_Outlet_Sales]]&gt;=1500,"Medium Sales","Low Sales"))</f>
        <v>High Sales</v>
      </c>
    </row>
    <row r="12" spans="1:13" x14ac:dyDescent="0.3">
      <c r="A12" t="s">
        <v>62</v>
      </c>
      <c r="B12">
        <v>11.8</v>
      </c>
      <c r="C12" t="s">
        <v>38</v>
      </c>
      <c r="D12">
        <v>0</v>
      </c>
      <c r="E12" t="s">
        <v>16</v>
      </c>
      <c r="F12">
        <v>45.540199999999999</v>
      </c>
      <c r="G12" t="s">
        <v>39</v>
      </c>
      <c r="H12">
        <v>1999</v>
      </c>
      <c r="I12" t="s">
        <v>40</v>
      </c>
      <c r="J12" t="s">
        <v>3</v>
      </c>
      <c r="K12" t="s">
        <v>41</v>
      </c>
      <c r="L12">
        <v>1516.0265999999999</v>
      </c>
      <c r="M12" t="str">
        <f>IF(Table1[[#This Row],[Item_Outlet_Sales]]&gt;=3000,"High Sales",IF(Table1[[#This Row],[Item_Outlet_Sales]]&gt;=1500,"Medium Sales","Low Sales"))</f>
        <v>Medium Sales</v>
      </c>
    </row>
    <row r="13" spans="1:13" x14ac:dyDescent="0.3">
      <c r="A13" t="s">
        <v>63</v>
      </c>
      <c r="B13">
        <v>18.5</v>
      </c>
      <c r="C13" t="s">
        <v>43</v>
      </c>
      <c r="D13">
        <v>4.5463772999999999E-2</v>
      </c>
      <c r="E13" t="s">
        <v>14</v>
      </c>
      <c r="F13">
        <v>144.11019999999999</v>
      </c>
      <c r="G13" t="s">
        <v>64</v>
      </c>
      <c r="H13">
        <v>1997</v>
      </c>
      <c r="I13" t="s">
        <v>65</v>
      </c>
      <c r="J13" t="s">
        <v>3</v>
      </c>
      <c r="K13" t="s">
        <v>41</v>
      </c>
      <c r="L13">
        <v>2187.1529999999998</v>
      </c>
      <c r="M13" t="str">
        <f>IF(Table1[[#This Row],[Item_Outlet_Sales]]&gt;=3000,"High Sales",IF(Table1[[#This Row],[Item_Outlet_Sales]]&gt;=1500,"Medium Sales","Low Sales"))</f>
        <v>Medium Sales</v>
      </c>
    </row>
    <row r="14" spans="1:13" x14ac:dyDescent="0.3">
      <c r="A14" t="s">
        <v>66</v>
      </c>
      <c r="B14">
        <v>15.1</v>
      </c>
      <c r="C14" t="s">
        <v>43</v>
      </c>
      <c r="D14">
        <v>0.10001350000000001</v>
      </c>
      <c r="E14" t="s">
        <v>16</v>
      </c>
      <c r="F14">
        <v>145.4786</v>
      </c>
      <c r="G14" t="s">
        <v>39</v>
      </c>
      <c r="H14">
        <v>1999</v>
      </c>
      <c r="I14" t="s">
        <v>40</v>
      </c>
      <c r="J14" t="s">
        <v>3</v>
      </c>
      <c r="K14" t="s">
        <v>41</v>
      </c>
      <c r="L14">
        <v>1589.2646</v>
      </c>
      <c r="M14" t="str">
        <f>IF(Table1[[#This Row],[Item_Outlet_Sales]]&gt;=3000,"High Sales",IF(Table1[[#This Row],[Item_Outlet_Sales]]&gt;=1500,"Medium Sales","Low Sales"))</f>
        <v>Medium Sales</v>
      </c>
    </row>
    <row r="15" spans="1:13" x14ac:dyDescent="0.3">
      <c r="A15" t="s">
        <v>67</v>
      </c>
      <c r="B15">
        <v>17.600000000000001</v>
      </c>
      <c r="C15" t="s">
        <v>43</v>
      </c>
      <c r="D15">
        <v>4.7257328000000001E-2</v>
      </c>
      <c r="E15" t="s">
        <v>21</v>
      </c>
      <c r="F15">
        <v>119.6782</v>
      </c>
      <c r="G15" t="s">
        <v>64</v>
      </c>
      <c r="H15">
        <v>1997</v>
      </c>
      <c r="I15" t="s">
        <v>65</v>
      </c>
      <c r="J15" t="s">
        <v>3</v>
      </c>
      <c r="K15" t="s">
        <v>41</v>
      </c>
      <c r="L15">
        <v>2145.2076000000002</v>
      </c>
      <c r="M15" t="str">
        <f>IF(Table1[[#This Row],[Item_Outlet_Sales]]&gt;=3000,"High Sales",IF(Table1[[#This Row],[Item_Outlet_Sales]]&gt;=1500,"Medium Sales","Low Sales"))</f>
        <v>Medium Sales</v>
      </c>
    </row>
    <row r="16" spans="1:13" x14ac:dyDescent="0.3">
      <c r="A16" t="s">
        <v>68</v>
      </c>
      <c r="B16">
        <v>16.350000000000001</v>
      </c>
      <c r="C16" t="s">
        <v>38</v>
      </c>
      <c r="D16">
        <v>6.8024299999999996E-2</v>
      </c>
      <c r="E16" t="s">
        <v>16</v>
      </c>
      <c r="F16">
        <v>196.4426</v>
      </c>
      <c r="G16" t="s">
        <v>51</v>
      </c>
      <c r="H16">
        <v>1987</v>
      </c>
      <c r="I16" t="s">
        <v>52</v>
      </c>
      <c r="J16" t="s">
        <v>9</v>
      </c>
      <c r="K16" t="s">
        <v>41</v>
      </c>
      <c r="L16">
        <v>1977.4259999999999</v>
      </c>
      <c r="M16" t="str">
        <f>IF(Table1[[#This Row],[Item_Outlet_Sales]]&gt;=3000,"High Sales",IF(Table1[[#This Row],[Item_Outlet_Sales]]&gt;=1500,"Medium Sales","Low Sales"))</f>
        <v>Medium Sales</v>
      </c>
    </row>
    <row r="17" spans="1:13" x14ac:dyDescent="0.3">
      <c r="A17" t="s">
        <v>69</v>
      </c>
      <c r="B17">
        <v>9</v>
      </c>
      <c r="C17" t="s">
        <v>43</v>
      </c>
      <c r="D17">
        <v>6.9088961000000004E-2</v>
      </c>
      <c r="E17" t="s">
        <v>12</v>
      </c>
      <c r="F17">
        <v>56.361400000000003</v>
      </c>
      <c r="G17" t="s">
        <v>64</v>
      </c>
      <c r="H17">
        <v>1997</v>
      </c>
      <c r="I17" t="s">
        <v>65</v>
      </c>
      <c r="J17" t="s">
        <v>3</v>
      </c>
      <c r="K17" t="s">
        <v>41</v>
      </c>
      <c r="L17">
        <v>1547.3191999999999</v>
      </c>
      <c r="M17" t="str">
        <f>IF(Table1[[#This Row],[Item_Outlet_Sales]]&gt;=3000,"High Sales",IF(Table1[[#This Row],[Item_Outlet_Sales]]&gt;=1500,"Medium Sales","Low Sales"))</f>
        <v>Medium Sales</v>
      </c>
    </row>
    <row r="18" spans="1:13" x14ac:dyDescent="0.3">
      <c r="A18" t="s">
        <v>70</v>
      </c>
      <c r="B18">
        <v>11.8</v>
      </c>
      <c r="C18" t="s">
        <v>38</v>
      </c>
      <c r="D18">
        <v>8.5960510000000004E-3</v>
      </c>
      <c r="E18" t="s">
        <v>18</v>
      </c>
      <c r="F18">
        <v>115.3492</v>
      </c>
      <c r="G18" t="s">
        <v>44</v>
      </c>
      <c r="H18">
        <v>2009</v>
      </c>
      <c r="I18" t="s">
        <v>40</v>
      </c>
      <c r="J18" t="s">
        <v>9</v>
      </c>
      <c r="K18" t="s">
        <v>45</v>
      </c>
      <c r="L18">
        <v>1621.8887999999999</v>
      </c>
      <c r="M18" t="str">
        <f>IF(Table1[[#This Row],[Item_Outlet_Sales]]&gt;=3000,"High Sales",IF(Table1[[#This Row],[Item_Outlet_Sales]]&gt;=1500,"Medium Sales","Low Sales"))</f>
        <v>Medium Sales</v>
      </c>
    </row>
    <row r="19" spans="1:13" x14ac:dyDescent="0.3">
      <c r="A19" t="s">
        <v>69</v>
      </c>
      <c r="B19">
        <v>9</v>
      </c>
      <c r="C19" t="s">
        <v>43</v>
      </c>
      <c r="D19">
        <v>6.9196376000000004E-2</v>
      </c>
      <c r="E19" t="s">
        <v>12</v>
      </c>
      <c r="F19">
        <v>54.361400000000003</v>
      </c>
      <c r="G19" t="s">
        <v>39</v>
      </c>
      <c r="H19">
        <v>1999</v>
      </c>
      <c r="I19" t="s">
        <v>40</v>
      </c>
      <c r="J19" t="s">
        <v>3</v>
      </c>
      <c r="K19" t="s">
        <v>41</v>
      </c>
      <c r="L19">
        <v>718.39819999999997</v>
      </c>
      <c r="M19" t="str">
        <f>IF(Table1[[#This Row],[Item_Outlet_Sales]]&gt;=3000,"High Sales",IF(Table1[[#This Row],[Item_Outlet_Sales]]&gt;=1500,"Medium Sales","Low Sales"))</f>
        <v>Low Sales</v>
      </c>
    </row>
    <row r="20" spans="1:13" x14ac:dyDescent="0.3">
      <c r="A20" t="s">
        <v>71</v>
      </c>
      <c r="C20" t="s">
        <v>38</v>
      </c>
      <c r="D20">
        <v>3.4237681999999998E-2</v>
      </c>
      <c r="E20" t="s">
        <v>17</v>
      </c>
      <c r="F20">
        <v>113.2834</v>
      </c>
      <c r="G20" t="s">
        <v>56</v>
      </c>
      <c r="H20">
        <v>1985</v>
      </c>
      <c r="I20" t="s">
        <v>40</v>
      </c>
      <c r="J20" t="s">
        <v>9</v>
      </c>
      <c r="K20" t="s">
        <v>57</v>
      </c>
      <c r="L20">
        <v>2303.6680000000001</v>
      </c>
      <c r="M20" t="str">
        <f>IF(Table1[[#This Row],[Item_Outlet_Sales]]&gt;=3000,"High Sales",IF(Table1[[#This Row],[Item_Outlet_Sales]]&gt;=1500,"Medium Sales","Low Sales"))</f>
        <v>Medium Sales</v>
      </c>
    </row>
    <row r="21" spans="1:13" x14ac:dyDescent="0.3">
      <c r="A21" t="s">
        <v>72</v>
      </c>
      <c r="B21">
        <v>13.35</v>
      </c>
      <c r="C21" t="s">
        <v>38</v>
      </c>
      <c r="D21">
        <v>0.10249212000000001</v>
      </c>
      <c r="E21" t="s">
        <v>14</v>
      </c>
      <c r="F21">
        <v>230.5352</v>
      </c>
      <c r="G21" t="s">
        <v>73</v>
      </c>
      <c r="H21">
        <v>2004</v>
      </c>
      <c r="I21" t="s">
        <v>65</v>
      </c>
      <c r="J21" t="s">
        <v>8</v>
      </c>
      <c r="K21" t="s">
        <v>41</v>
      </c>
      <c r="L21">
        <v>2748.4223999999999</v>
      </c>
      <c r="M21" t="str">
        <f>IF(Table1[[#This Row],[Item_Outlet_Sales]]&gt;=3000,"High Sales",IF(Table1[[#This Row],[Item_Outlet_Sales]]&gt;=1500,"Medium Sales","Low Sales"))</f>
        <v>Medium Sales</v>
      </c>
    </row>
    <row r="22" spans="1:13" x14ac:dyDescent="0.3">
      <c r="A22" t="s">
        <v>74</v>
      </c>
      <c r="B22">
        <v>18.850000000000001</v>
      </c>
      <c r="C22" t="s">
        <v>43</v>
      </c>
      <c r="D22">
        <v>0.138190277</v>
      </c>
      <c r="E22" t="s">
        <v>21</v>
      </c>
      <c r="F22">
        <v>250.8724</v>
      </c>
      <c r="G22" t="s">
        <v>51</v>
      </c>
      <c r="H22">
        <v>1987</v>
      </c>
      <c r="I22" t="s">
        <v>52</v>
      </c>
      <c r="J22" t="s">
        <v>9</v>
      </c>
      <c r="K22" t="s">
        <v>41</v>
      </c>
      <c r="L22">
        <v>3775.0859999999998</v>
      </c>
      <c r="M22" t="str">
        <f>IF(Table1[[#This Row],[Item_Outlet_Sales]]&gt;=3000,"High Sales",IF(Table1[[#This Row],[Item_Outlet_Sales]]&gt;=1500,"Medium Sales","Low Sales"))</f>
        <v>High Sales</v>
      </c>
    </row>
    <row r="23" spans="1:13" x14ac:dyDescent="0.3">
      <c r="A23" t="s">
        <v>75</v>
      </c>
      <c r="C23" t="s">
        <v>43</v>
      </c>
      <c r="D23">
        <v>3.5399923E-2</v>
      </c>
      <c r="E23" t="s">
        <v>10</v>
      </c>
      <c r="F23">
        <v>144.5444</v>
      </c>
      <c r="G23" t="s">
        <v>56</v>
      </c>
      <c r="H23">
        <v>1985</v>
      </c>
      <c r="I23" t="s">
        <v>40</v>
      </c>
      <c r="J23" t="s">
        <v>9</v>
      </c>
      <c r="K23" t="s">
        <v>57</v>
      </c>
      <c r="L23">
        <v>4064.0432000000001</v>
      </c>
      <c r="M23" t="str">
        <f>IF(Table1[[#This Row],[Item_Outlet_Sales]]&gt;=3000,"High Sales",IF(Table1[[#This Row],[Item_Outlet_Sales]]&gt;=1500,"Medium Sales","Low Sales"))</f>
        <v>High Sales</v>
      </c>
    </row>
    <row r="24" spans="1:13" x14ac:dyDescent="0.3">
      <c r="A24" t="s">
        <v>76</v>
      </c>
      <c r="B24">
        <v>14.6</v>
      </c>
      <c r="C24" t="s">
        <v>38</v>
      </c>
      <c r="D24">
        <v>2.5698134000000001E-2</v>
      </c>
      <c r="E24" t="s">
        <v>19</v>
      </c>
      <c r="F24">
        <v>196.50839999999999</v>
      </c>
      <c r="G24" t="s">
        <v>73</v>
      </c>
      <c r="H24">
        <v>2004</v>
      </c>
      <c r="I24" t="s">
        <v>65</v>
      </c>
      <c r="J24" t="s">
        <v>8</v>
      </c>
      <c r="K24" t="s">
        <v>41</v>
      </c>
      <c r="L24">
        <v>1587.2672</v>
      </c>
      <c r="M24" t="str">
        <f>IF(Table1[[#This Row],[Item_Outlet_Sales]]&gt;=3000,"High Sales",IF(Table1[[#This Row],[Item_Outlet_Sales]]&gt;=1500,"Medium Sales","Low Sales"))</f>
        <v>Medium Sales</v>
      </c>
    </row>
    <row r="25" spans="1:13" x14ac:dyDescent="0.3">
      <c r="A25" t="s">
        <v>77</v>
      </c>
      <c r="C25" t="s">
        <v>38</v>
      </c>
      <c r="D25">
        <v>5.7556997999999998E-2</v>
      </c>
      <c r="E25" t="s">
        <v>10</v>
      </c>
      <c r="F25">
        <v>107.6938</v>
      </c>
      <c r="G25" t="s">
        <v>78</v>
      </c>
      <c r="H25">
        <v>1985</v>
      </c>
      <c r="I25" t="s">
        <v>65</v>
      </c>
      <c r="J25" t="s">
        <v>3</v>
      </c>
      <c r="K25" t="s">
        <v>49</v>
      </c>
      <c r="L25">
        <v>214.38759999999999</v>
      </c>
      <c r="M25" t="str">
        <f>IF(Table1[[#This Row],[Item_Outlet_Sales]]&gt;=3000,"High Sales",IF(Table1[[#This Row],[Item_Outlet_Sales]]&gt;=1500,"Medium Sales","Low Sales"))</f>
        <v>Low Sales</v>
      </c>
    </row>
    <row r="26" spans="1:13" x14ac:dyDescent="0.3">
      <c r="A26" t="s">
        <v>79</v>
      </c>
      <c r="B26">
        <v>13.85</v>
      </c>
      <c r="C26" t="s">
        <v>43</v>
      </c>
      <c r="D26">
        <v>2.5896485E-2</v>
      </c>
      <c r="E26" t="s">
        <v>15</v>
      </c>
      <c r="F26">
        <v>165.02099999999999</v>
      </c>
      <c r="G26" t="s">
        <v>64</v>
      </c>
      <c r="H26">
        <v>1997</v>
      </c>
      <c r="I26" t="s">
        <v>65</v>
      </c>
      <c r="J26" t="s">
        <v>3</v>
      </c>
      <c r="K26" t="s">
        <v>41</v>
      </c>
      <c r="L26">
        <v>4078.0250000000001</v>
      </c>
      <c r="M26" t="str">
        <f>IF(Table1[[#This Row],[Item_Outlet_Sales]]&gt;=3000,"High Sales",IF(Table1[[#This Row],[Item_Outlet_Sales]]&gt;=1500,"Medium Sales","Low Sales"))</f>
        <v>High Sales</v>
      </c>
    </row>
    <row r="27" spans="1:13" x14ac:dyDescent="0.3">
      <c r="A27" t="s">
        <v>80</v>
      </c>
      <c r="B27">
        <v>13</v>
      </c>
      <c r="C27" t="s">
        <v>38</v>
      </c>
      <c r="D27">
        <v>9.9887103000000005E-2</v>
      </c>
      <c r="E27" t="s">
        <v>19</v>
      </c>
      <c r="F27">
        <v>45.905999999999999</v>
      </c>
      <c r="G27" t="s">
        <v>61</v>
      </c>
      <c r="H27">
        <v>2007</v>
      </c>
      <c r="I27" t="s">
        <v>65</v>
      </c>
      <c r="J27" t="s">
        <v>8</v>
      </c>
      <c r="K27" t="s">
        <v>41</v>
      </c>
      <c r="L27">
        <v>838.90800000000002</v>
      </c>
      <c r="M27" t="str">
        <f>IF(Table1[[#This Row],[Item_Outlet_Sales]]&gt;=3000,"High Sales",IF(Table1[[#This Row],[Item_Outlet_Sales]]&gt;=1500,"Medium Sales","Low Sales"))</f>
        <v>Low Sales</v>
      </c>
    </row>
    <row r="28" spans="1:13" x14ac:dyDescent="0.3">
      <c r="A28" t="s">
        <v>81</v>
      </c>
      <c r="B28">
        <v>7.6449999999999996</v>
      </c>
      <c r="C28" t="s">
        <v>43</v>
      </c>
      <c r="D28">
        <v>6.6693436999999994E-2</v>
      </c>
      <c r="E28" t="s">
        <v>21</v>
      </c>
      <c r="F28">
        <v>42.311199999999999</v>
      </c>
      <c r="G28" t="s">
        <v>73</v>
      </c>
      <c r="H28">
        <v>2004</v>
      </c>
      <c r="I28" t="s">
        <v>65</v>
      </c>
      <c r="J28" t="s">
        <v>8</v>
      </c>
      <c r="K28" t="s">
        <v>41</v>
      </c>
      <c r="L28">
        <v>1065.28</v>
      </c>
      <c r="M28" t="str">
        <f>IF(Table1[[#This Row],[Item_Outlet_Sales]]&gt;=3000,"High Sales",IF(Table1[[#This Row],[Item_Outlet_Sales]]&gt;=1500,"Medium Sales","Low Sales"))</f>
        <v>Low Sales</v>
      </c>
    </row>
    <row r="29" spans="1:13" x14ac:dyDescent="0.3">
      <c r="A29" t="s">
        <v>82</v>
      </c>
      <c r="B29">
        <v>11.65</v>
      </c>
      <c r="C29" t="s">
        <v>83</v>
      </c>
      <c r="D29">
        <v>1.9356132000000002E-2</v>
      </c>
      <c r="E29" t="s">
        <v>17</v>
      </c>
      <c r="F29">
        <v>39.116399999999999</v>
      </c>
      <c r="G29" t="s">
        <v>51</v>
      </c>
      <c r="H29">
        <v>1987</v>
      </c>
      <c r="I29" t="s">
        <v>52</v>
      </c>
      <c r="J29" t="s">
        <v>9</v>
      </c>
      <c r="K29" t="s">
        <v>41</v>
      </c>
      <c r="L29">
        <v>308.93119999999999</v>
      </c>
      <c r="M29" t="str">
        <f>IF(Table1[[#This Row],[Item_Outlet_Sales]]&gt;=3000,"High Sales",IF(Table1[[#This Row],[Item_Outlet_Sales]]&gt;=1500,"Medium Sales","Low Sales"))</f>
        <v>Low Sales</v>
      </c>
    </row>
    <row r="30" spans="1:13" x14ac:dyDescent="0.3">
      <c r="A30" t="s">
        <v>84</v>
      </c>
      <c r="B30">
        <v>5.9249999999999998</v>
      </c>
      <c r="C30" t="s">
        <v>43</v>
      </c>
      <c r="D30">
        <v>0.16146653399999999</v>
      </c>
      <c r="E30" t="s">
        <v>14</v>
      </c>
      <c r="F30">
        <v>45.508600000000001</v>
      </c>
      <c r="G30" t="s">
        <v>48</v>
      </c>
      <c r="H30">
        <v>1998</v>
      </c>
      <c r="I30" t="s">
        <v>52</v>
      </c>
      <c r="J30" t="s">
        <v>9</v>
      </c>
      <c r="K30" t="s">
        <v>49</v>
      </c>
      <c r="L30">
        <v>178.43440000000001</v>
      </c>
      <c r="M30" t="str">
        <f>IF(Table1[[#This Row],[Item_Outlet_Sales]]&gt;=3000,"High Sales",IF(Table1[[#This Row],[Item_Outlet_Sales]]&gt;=1500,"Medium Sales","Low Sales"))</f>
        <v>Low Sales</v>
      </c>
    </row>
    <row r="31" spans="1:13" x14ac:dyDescent="0.3">
      <c r="A31" t="s">
        <v>85</v>
      </c>
      <c r="C31" t="s">
        <v>43</v>
      </c>
      <c r="D31">
        <v>7.2221801000000002E-2</v>
      </c>
      <c r="E31" t="s">
        <v>13</v>
      </c>
      <c r="F31">
        <v>43.645400000000002</v>
      </c>
      <c r="G31" t="s">
        <v>78</v>
      </c>
      <c r="H31">
        <v>1985</v>
      </c>
      <c r="I31" t="s">
        <v>65</v>
      </c>
      <c r="J31" t="s">
        <v>3</v>
      </c>
      <c r="K31" t="s">
        <v>49</v>
      </c>
      <c r="L31">
        <v>125.83620000000001</v>
      </c>
      <c r="M31" t="str">
        <f>IF(Table1[[#This Row],[Item_Outlet_Sales]]&gt;=3000,"High Sales",IF(Table1[[#This Row],[Item_Outlet_Sales]]&gt;=1500,"Medium Sales","Low Sales"))</f>
        <v>Low Sales</v>
      </c>
    </row>
    <row r="32" spans="1:13" x14ac:dyDescent="0.3">
      <c r="A32" t="s">
        <v>86</v>
      </c>
      <c r="B32">
        <v>19.25</v>
      </c>
      <c r="C32" t="s">
        <v>38</v>
      </c>
      <c r="D32">
        <v>0.17034855099999999</v>
      </c>
      <c r="E32" t="s">
        <v>14</v>
      </c>
      <c r="F32">
        <v>55.7956</v>
      </c>
      <c r="G32" t="s">
        <v>48</v>
      </c>
      <c r="H32">
        <v>1998</v>
      </c>
      <c r="I32" t="s">
        <v>40</v>
      </c>
      <c r="J32" t="s">
        <v>9</v>
      </c>
      <c r="K32" t="s">
        <v>49</v>
      </c>
      <c r="L32">
        <v>163.7868</v>
      </c>
      <c r="M32" t="str">
        <f>IF(Table1[[#This Row],[Item_Outlet_Sales]]&gt;=3000,"High Sales",IF(Table1[[#This Row],[Item_Outlet_Sales]]&gt;=1500,"Medium Sales","Low Sales"))</f>
        <v>Low Sales</v>
      </c>
    </row>
    <row r="33" spans="1:13" x14ac:dyDescent="0.3">
      <c r="A33" t="s">
        <v>87</v>
      </c>
      <c r="B33">
        <v>18.600000000000001</v>
      </c>
      <c r="C33" t="s">
        <v>38</v>
      </c>
      <c r="D33">
        <v>8.0829371999999997E-2</v>
      </c>
      <c r="E33" t="s">
        <v>18</v>
      </c>
      <c r="F33">
        <v>96.443600000000004</v>
      </c>
      <c r="G33" t="s">
        <v>44</v>
      </c>
      <c r="H33">
        <v>2009</v>
      </c>
      <c r="I33" t="s">
        <v>40</v>
      </c>
      <c r="J33" t="s">
        <v>9</v>
      </c>
      <c r="K33" t="s">
        <v>45</v>
      </c>
      <c r="L33">
        <v>2741.7644</v>
      </c>
      <c r="M33" t="str">
        <f>IF(Table1[[#This Row],[Item_Outlet_Sales]]&gt;=3000,"High Sales",IF(Table1[[#This Row],[Item_Outlet_Sales]]&gt;=1500,"Medium Sales","Low Sales"))</f>
        <v>Medium Sales</v>
      </c>
    </row>
    <row r="34" spans="1:13" x14ac:dyDescent="0.3">
      <c r="A34" t="s">
        <v>88</v>
      </c>
      <c r="B34">
        <v>18.7</v>
      </c>
      <c r="C34" t="s">
        <v>38</v>
      </c>
      <c r="D34">
        <v>0</v>
      </c>
      <c r="E34" t="s">
        <v>21</v>
      </c>
      <c r="F34">
        <v>256.66719999999998</v>
      </c>
      <c r="G34" t="s">
        <v>44</v>
      </c>
      <c r="H34">
        <v>2009</v>
      </c>
      <c r="I34" t="s">
        <v>40</v>
      </c>
      <c r="J34" t="s">
        <v>9</v>
      </c>
      <c r="K34" t="s">
        <v>45</v>
      </c>
      <c r="L34">
        <v>3068.0064000000002</v>
      </c>
      <c r="M34" t="str">
        <f>IF(Table1[[#This Row],[Item_Outlet_Sales]]&gt;=3000,"High Sales",IF(Table1[[#This Row],[Item_Outlet_Sales]]&gt;=1500,"Medium Sales","Low Sales"))</f>
        <v>High Sales</v>
      </c>
    </row>
    <row r="35" spans="1:13" x14ac:dyDescent="0.3">
      <c r="A35" t="s">
        <v>89</v>
      </c>
      <c r="B35">
        <v>17.850000000000001</v>
      </c>
      <c r="C35" t="s">
        <v>38</v>
      </c>
      <c r="D35">
        <v>0</v>
      </c>
      <c r="E35" t="s">
        <v>11</v>
      </c>
      <c r="F35">
        <v>93.143600000000006</v>
      </c>
      <c r="G35" t="s">
        <v>59</v>
      </c>
      <c r="H35">
        <v>2002</v>
      </c>
      <c r="I35" t="s">
        <v>40</v>
      </c>
      <c r="J35" t="s">
        <v>8</v>
      </c>
      <c r="K35" t="s">
        <v>41</v>
      </c>
      <c r="L35">
        <v>2174.5028000000002</v>
      </c>
      <c r="M35" t="str">
        <f>IF(Table1[[#This Row],[Item_Outlet_Sales]]&gt;=3000,"High Sales",IF(Table1[[#This Row],[Item_Outlet_Sales]]&gt;=1500,"Medium Sales","Low Sales"))</f>
        <v>Medium Sales</v>
      </c>
    </row>
    <row r="36" spans="1:13" x14ac:dyDescent="0.3">
      <c r="A36" t="s">
        <v>90</v>
      </c>
      <c r="B36">
        <v>17.5</v>
      </c>
      <c r="C36" t="s">
        <v>38</v>
      </c>
      <c r="D36">
        <v>9.7904029000000004E-2</v>
      </c>
      <c r="E36" t="s">
        <v>22</v>
      </c>
      <c r="F36">
        <v>174.87379999999999</v>
      </c>
      <c r="G36" t="s">
        <v>64</v>
      </c>
      <c r="H36">
        <v>1997</v>
      </c>
      <c r="I36" t="s">
        <v>65</v>
      </c>
      <c r="J36" t="s">
        <v>3</v>
      </c>
      <c r="K36" t="s">
        <v>41</v>
      </c>
      <c r="L36">
        <v>2085.2856000000002</v>
      </c>
      <c r="M36" t="str">
        <f>IF(Table1[[#This Row],[Item_Outlet_Sales]]&gt;=3000,"High Sales",IF(Table1[[#This Row],[Item_Outlet_Sales]]&gt;=1500,"Medium Sales","Low Sales"))</f>
        <v>Medium Sales</v>
      </c>
    </row>
    <row r="37" spans="1:13" x14ac:dyDescent="0.3">
      <c r="A37" t="s">
        <v>91</v>
      </c>
      <c r="B37">
        <v>10</v>
      </c>
      <c r="C37" t="s">
        <v>38</v>
      </c>
      <c r="D37">
        <v>8.9291137000000007E-2</v>
      </c>
      <c r="E37" t="s">
        <v>18</v>
      </c>
      <c r="F37">
        <v>146.71019999999999</v>
      </c>
      <c r="G37" t="s">
        <v>39</v>
      </c>
      <c r="H37">
        <v>1999</v>
      </c>
      <c r="I37" t="s">
        <v>40</v>
      </c>
      <c r="J37" t="s">
        <v>3</v>
      </c>
      <c r="K37" t="s">
        <v>41</v>
      </c>
      <c r="L37">
        <v>3791.0652</v>
      </c>
      <c r="M37" t="str">
        <f>IF(Table1[[#This Row],[Item_Outlet_Sales]]&gt;=3000,"High Sales",IF(Table1[[#This Row],[Item_Outlet_Sales]]&gt;=1500,"Medium Sales","Low Sales"))</f>
        <v>High Sales</v>
      </c>
    </row>
    <row r="38" spans="1:13" x14ac:dyDescent="0.3">
      <c r="A38" t="s">
        <v>92</v>
      </c>
      <c r="C38" t="s">
        <v>43</v>
      </c>
      <c r="D38">
        <v>5.9511811999999997E-2</v>
      </c>
      <c r="E38" t="s">
        <v>16</v>
      </c>
      <c r="F38">
        <v>128.06780000000001</v>
      </c>
      <c r="G38" t="s">
        <v>56</v>
      </c>
      <c r="H38">
        <v>1985</v>
      </c>
      <c r="I38" t="s">
        <v>40</v>
      </c>
      <c r="J38" t="s">
        <v>9</v>
      </c>
      <c r="K38" t="s">
        <v>57</v>
      </c>
      <c r="L38">
        <v>2797.6916000000001</v>
      </c>
      <c r="M38" t="str">
        <f>IF(Table1[[#This Row],[Item_Outlet_Sales]]&gt;=3000,"High Sales",IF(Table1[[#This Row],[Item_Outlet_Sales]]&gt;=1500,"Medium Sales","Low Sales"))</f>
        <v>Medium Sales</v>
      </c>
    </row>
    <row r="39" spans="1:13" x14ac:dyDescent="0.3">
      <c r="A39" t="s">
        <v>93</v>
      </c>
      <c r="B39">
        <v>8.85</v>
      </c>
      <c r="C39" t="s">
        <v>43</v>
      </c>
      <c r="D39">
        <v>0.113123893</v>
      </c>
      <c r="E39" t="s">
        <v>22</v>
      </c>
      <c r="F39">
        <v>122.53879999999999</v>
      </c>
      <c r="G39" t="s">
        <v>44</v>
      </c>
      <c r="H39">
        <v>2009</v>
      </c>
      <c r="I39" t="s">
        <v>40</v>
      </c>
      <c r="J39" t="s">
        <v>9</v>
      </c>
      <c r="K39" t="s">
        <v>45</v>
      </c>
      <c r="L39">
        <v>1609.9043999999999</v>
      </c>
      <c r="M39" t="str">
        <f>IF(Table1[[#This Row],[Item_Outlet_Sales]]&gt;=3000,"High Sales",IF(Table1[[#This Row],[Item_Outlet_Sales]]&gt;=1500,"Medium Sales","Low Sales"))</f>
        <v>Medium Sales</v>
      </c>
    </row>
    <row r="40" spans="1:13" x14ac:dyDescent="0.3">
      <c r="A40" t="s">
        <v>94</v>
      </c>
      <c r="C40" t="s">
        <v>43</v>
      </c>
      <c r="D40">
        <v>0.123111453</v>
      </c>
      <c r="E40" t="s">
        <v>21</v>
      </c>
      <c r="F40">
        <v>36.987400000000001</v>
      </c>
      <c r="G40" t="s">
        <v>56</v>
      </c>
      <c r="H40">
        <v>1985</v>
      </c>
      <c r="I40" t="s">
        <v>40</v>
      </c>
      <c r="J40" t="s">
        <v>9</v>
      </c>
      <c r="K40" t="s">
        <v>57</v>
      </c>
      <c r="L40">
        <v>388.16140000000001</v>
      </c>
      <c r="M40" t="str">
        <f>IF(Table1[[#This Row],[Item_Outlet_Sales]]&gt;=3000,"High Sales",IF(Table1[[#This Row],[Item_Outlet_Sales]]&gt;=1500,"Medium Sales","Low Sales"))</f>
        <v>Low Sales</v>
      </c>
    </row>
    <row r="41" spans="1:13" x14ac:dyDescent="0.3">
      <c r="A41" t="s">
        <v>95</v>
      </c>
      <c r="C41" t="s">
        <v>38</v>
      </c>
      <c r="D41">
        <v>2.6480954000000001E-2</v>
      </c>
      <c r="E41" t="s">
        <v>21</v>
      </c>
      <c r="F41">
        <v>87.619799999999998</v>
      </c>
      <c r="G41" t="s">
        <v>56</v>
      </c>
      <c r="H41">
        <v>1985</v>
      </c>
      <c r="I41" t="s">
        <v>40</v>
      </c>
      <c r="J41" t="s">
        <v>9</v>
      </c>
      <c r="K41" t="s">
        <v>57</v>
      </c>
      <c r="L41">
        <v>2180.4949999999999</v>
      </c>
      <c r="M41" t="str">
        <f>IF(Table1[[#This Row],[Item_Outlet_Sales]]&gt;=3000,"High Sales",IF(Table1[[#This Row],[Item_Outlet_Sales]]&gt;=1500,"Medium Sales","Low Sales"))</f>
        <v>Medium Sales</v>
      </c>
    </row>
    <row r="42" spans="1:13" x14ac:dyDescent="0.3">
      <c r="A42" t="s">
        <v>72</v>
      </c>
      <c r="B42">
        <v>13.35</v>
      </c>
      <c r="C42" t="s">
        <v>38</v>
      </c>
      <c r="D42">
        <v>0.102511504</v>
      </c>
      <c r="E42" t="s">
        <v>14</v>
      </c>
      <c r="F42">
        <v>230.6352</v>
      </c>
      <c r="G42" t="s">
        <v>64</v>
      </c>
      <c r="H42">
        <v>1997</v>
      </c>
      <c r="I42" t="s">
        <v>65</v>
      </c>
      <c r="J42" t="s">
        <v>3</v>
      </c>
      <c r="K42" t="s">
        <v>41</v>
      </c>
      <c r="L42">
        <v>3435.5279999999998</v>
      </c>
      <c r="M42" t="str">
        <f>IF(Table1[[#This Row],[Item_Outlet_Sales]]&gt;=3000,"High Sales",IF(Table1[[#This Row],[Item_Outlet_Sales]]&gt;=1500,"Medium Sales","Low Sales"))</f>
        <v>High Sales</v>
      </c>
    </row>
    <row r="43" spans="1:13" x14ac:dyDescent="0.3">
      <c r="A43" t="s">
        <v>96</v>
      </c>
      <c r="B43">
        <v>9.8000000000000007</v>
      </c>
      <c r="C43" t="s">
        <v>38</v>
      </c>
      <c r="D43">
        <v>2.6818430000000001E-2</v>
      </c>
      <c r="E43" t="s">
        <v>20</v>
      </c>
      <c r="F43">
        <v>126.002</v>
      </c>
      <c r="G43" t="s">
        <v>51</v>
      </c>
      <c r="H43">
        <v>1987</v>
      </c>
      <c r="I43" t="s">
        <v>52</v>
      </c>
      <c r="J43" t="s">
        <v>9</v>
      </c>
      <c r="K43" t="s">
        <v>41</v>
      </c>
      <c r="L43">
        <v>2150.5340000000001</v>
      </c>
      <c r="M43" t="str">
        <f>IF(Table1[[#This Row],[Item_Outlet_Sales]]&gt;=3000,"High Sales",IF(Table1[[#This Row],[Item_Outlet_Sales]]&gt;=1500,"Medium Sales","Low Sales"))</f>
        <v>Medium Sales</v>
      </c>
    </row>
    <row r="44" spans="1:13" x14ac:dyDescent="0.3">
      <c r="A44" t="s">
        <v>97</v>
      </c>
      <c r="B44">
        <v>13.6</v>
      </c>
      <c r="C44" t="s">
        <v>38</v>
      </c>
      <c r="D44">
        <v>0.117818348</v>
      </c>
      <c r="E44" t="s">
        <v>21</v>
      </c>
      <c r="F44">
        <v>192.9136</v>
      </c>
      <c r="G44" t="s">
        <v>39</v>
      </c>
      <c r="H44">
        <v>1999</v>
      </c>
      <c r="I44" t="s">
        <v>40</v>
      </c>
      <c r="J44" t="s">
        <v>3</v>
      </c>
      <c r="K44" t="s">
        <v>41</v>
      </c>
      <c r="L44">
        <v>2527.3768</v>
      </c>
      <c r="M44" t="str">
        <f>IF(Table1[[#This Row],[Item_Outlet_Sales]]&gt;=3000,"High Sales",IF(Table1[[#This Row],[Item_Outlet_Sales]]&gt;=1500,"Medium Sales","Low Sales"))</f>
        <v>Medium Sales</v>
      </c>
    </row>
    <row r="45" spans="1:13" x14ac:dyDescent="0.3">
      <c r="A45" t="s">
        <v>98</v>
      </c>
      <c r="B45">
        <v>21.35</v>
      </c>
      <c r="C45" t="s">
        <v>38</v>
      </c>
      <c r="D45">
        <v>6.9102831000000003E-2</v>
      </c>
      <c r="E45" t="s">
        <v>13</v>
      </c>
      <c r="F45">
        <v>259.92779999999999</v>
      </c>
      <c r="G45" t="s">
        <v>44</v>
      </c>
      <c r="H45">
        <v>2009</v>
      </c>
      <c r="I45" t="s">
        <v>40</v>
      </c>
      <c r="J45" t="s">
        <v>9</v>
      </c>
      <c r="K45" t="s">
        <v>45</v>
      </c>
      <c r="L45">
        <v>6768.5227999999997</v>
      </c>
      <c r="M45" t="str">
        <f>IF(Table1[[#This Row],[Item_Outlet_Sales]]&gt;=3000,"High Sales",IF(Table1[[#This Row],[Item_Outlet_Sales]]&gt;=1500,"Medium Sales","Low Sales"))</f>
        <v>High Sales</v>
      </c>
    </row>
    <row r="46" spans="1:13" x14ac:dyDescent="0.3">
      <c r="A46" t="s">
        <v>99</v>
      </c>
      <c r="B46">
        <v>12.15</v>
      </c>
      <c r="C46" t="s">
        <v>43</v>
      </c>
      <c r="D46">
        <v>4.2277866999999997E-2</v>
      </c>
      <c r="E46" t="s">
        <v>13</v>
      </c>
      <c r="F46">
        <v>126.5046</v>
      </c>
      <c r="G46" t="s">
        <v>51</v>
      </c>
      <c r="H46">
        <v>1987</v>
      </c>
      <c r="I46" t="s">
        <v>52</v>
      </c>
      <c r="J46" t="s">
        <v>9</v>
      </c>
      <c r="K46" t="s">
        <v>41</v>
      </c>
      <c r="L46">
        <v>373.5138</v>
      </c>
      <c r="M46" t="str">
        <f>IF(Table1[[#This Row],[Item_Outlet_Sales]]&gt;=3000,"High Sales",IF(Table1[[#This Row],[Item_Outlet_Sales]]&gt;=1500,"Medium Sales","Low Sales"))</f>
        <v>Low Sales</v>
      </c>
    </row>
    <row r="47" spans="1:13" x14ac:dyDescent="0.3">
      <c r="A47" t="s">
        <v>100</v>
      </c>
      <c r="B47">
        <v>6.42</v>
      </c>
      <c r="C47" t="s">
        <v>38</v>
      </c>
      <c r="D47">
        <v>8.9498926000000006E-2</v>
      </c>
      <c r="E47" t="s">
        <v>14</v>
      </c>
      <c r="F47">
        <v>178.1002</v>
      </c>
      <c r="G47" t="s">
        <v>48</v>
      </c>
      <c r="H47">
        <v>1998</v>
      </c>
      <c r="I47" t="s">
        <v>52</v>
      </c>
      <c r="J47" t="s">
        <v>9</v>
      </c>
      <c r="K47" t="s">
        <v>49</v>
      </c>
      <c r="L47">
        <v>358.2004</v>
      </c>
      <c r="M47" t="str">
        <f>IF(Table1[[#This Row],[Item_Outlet_Sales]]&gt;=3000,"High Sales",IF(Table1[[#This Row],[Item_Outlet_Sales]]&gt;=1500,"Medium Sales","Low Sales"))</f>
        <v>Low Sales</v>
      </c>
    </row>
    <row r="48" spans="1:13" x14ac:dyDescent="0.3">
      <c r="A48" t="s">
        <v>101</v>
      </c>
      <c r="B48">
        <v>19.600000000000001</v>
      </c>
      <c r="C48" t="s">
        <v>38</v>
      </c>
      <c r="D48">
        <v>0</v>
      </c>
      <c r="E48" t="s">
        <v>18</v>
      </c>
      <c r="F48">
        <v>153.30240000000001</v>
      </c>
      <c r="G48" t="s">
        <v>59</v>
      </c>
      <c r="H48">
        <v>2002</v>
      </c>
      <c r="I48" t="s">
        <v>52</v>
      </c>
      <c r="J48" t="s">
        <v>8</v>
      </c>
      <c r="K48" t="s">
        <v>41</v>
      </c>
      <c r="L48">
        <v>2428.8384000000001</v>
      </c>
      <c r="M48" t="str">
        <f>IF(Table1[[#This Row],[Item_Outlet_Sales]]&gt;=3000,"High Sales",IF(Table1[[#This Row],[Item_Outlet_Sales]]&gt;=1500,"Medium Sales","Low Sales"))</f>
        <v>Medium Sales</v>
      </c>
    </row>
    <row r="49" spans="1:13" x14ac:dyDescent="0.3">
      <c r="A49" t="s">
        <v>102</v>
      </c>
      <c r="B49">
        <v>10</v>
      </c>
      <c r="C49" t="s">
        <v>38</v>
      </c>
      <c r="D49">
        <v>2.5879577000000001E-2</v>
      </c>
      <c r="E49" t="s">
        <v>13</v>
      </c>
      <c r="F49">
        <v>265.2226</v>
      </c>
      <c r="G49" t="s">
        <v>59</v>
      </c>
      <c r="H49">
        <v>2002</v>
      </c>
      <c r="I49" t="s">
        <v>52</v>
      </c>
      <c r="J49" t="s">
        <v>8</v>
      </c>
      <c r="K49" t="s">
        <v>41</v>
      </c>
      <c r="L49">
        <v>5815.0972000000002</v>
      </c>
      <c r="M49" t="str">
        <f>IF(Table1[[#This Row],[Item_Outlet_Sales]]&gt;=3000,"High Sales",IF(Table1[[#This Row],[Item_Outlet_Sales]]&gt;=1500,"Medium Sales","Low Sales"))</f>
        <v>High Sales</v>
      </c>
    </row>
    <row r="50" spans="1:13" x14ac:dyDescent="0.3">
      <c r="A50" t="s">
        <v>103</v>
      </c>
      <c r="B50">
        <v>15.85</v>
      </c>
      <c r="C50" t="s">
        <v>43</v>
      </c>
      <c r="D50">
        <v>0.121632721</v>
      </c>
      <c r="E50" t="s">
        <v>10</v>
      </c>
      <c r="F50">
        <v>60.622</v>
      </c>
      <c r="G50" t="s">
        <v>64</v>
      </c>
      <c r="H50">
        <v>1997</v>
      </c>
      <c r="I50" t="s">
        <v>65</v>
      </c>
      <c r="J50" t="s">
        <v>3</v>
      </c>
      <c r="K50" t="s">
        <v>41</v>
      </c>
      <c r="L50">
        <v>2576.6460000000002</v>
      </c>
      <c r="M50" t="str">
        <f>IF(Table1[[#This Row],[Item_Outlet_Sales]]&gt;=3000,"High Sales",IF(Table1[[#This Row],[Item_Outlet_Sales]]&gt;=1500,"Medium Sales","Low Sales"))</f>
        <v>Medium Sales</v>
      </c>
    </row>
    <row r="51" spans="1:13" x14ac:dyDescent="0.3">
      <c r="A51" t="s">
        <v>104</v>
      </c>
      <c r="C51" t="s">
        <v>43</v>
      </c>
      <c r="D51">
        <v>0.25539489599999998</v>
      </c>
      <c r="E51" t="s">
        <v>14</v>
      </c>
      <c r="F51">
        <v>196.8794</v>
      </c>
      <c r="G51" t="s">
        <v>78</v>
      </c>
      <c r="H51">
        <v>1985</v>
      </c>
      <c r="I51" t="s">
        <v>65</v>
      </c>
      <c r="J51" t="s">
        <v>3</v>
      </c>
      <c r="K51" t="s">
        <v>49</v>
      </c>
      <c r="L51">
        <v>780.31759999999997</v>
      </c>
      <c r="M51" t="str">
        <f>IF(Table1[[#This Row],[Item_Outlet_Sales]]&gt;=3000,"High Sales",IF(Table1[[#This Row],[Item_Outlet_Sales]]&gt;=1500,"Medium Sales","Low Sales"))</f>
        <v>Low Sales</v>
      </c>
    </row>
    <row r="52" spans="1:13" x14ac:dyDescent="0.3">
      <c r="A52" t="s">
        <v>105</v>
      </c>
      <c r="B52">
        <v>7.39</v>
      </c>
      <c r="C52" t="s">
        <v>38</v>
      </c>
      <c r="D52">
        <v>6.7779712000000006E-2</v>
      </c>
      <c r="E52" t="s">
        <v>18</v>
      </c>
      <c r="F52">
        <v>143.88120000000001</v>
      </c>
      <c r="G52" t="s">
        <v>64</v>
      </c>
      <c r="H52">
        <v>1997</v>
      </c>
      <c r="I52" t="s">
        <v>65</v>
      </c>
      <c r="J52" t="s">
        <v>3</v>
      </c>
      <c r="K52" t="s">
        <v>41</v>
      </c>
      <c r="L52">
        <v>3134.5864000000001</v>
      </c>
      <c r="M52" t="str">
        <f>IF(Table1[[#This Row],[Item_Outlet_Sales]]&gt;=3000,"High Sales",IF(Table1[[#This Row],[Item_Outlet_Sales]]&gt;=1500,"Medium Sales","Low Sales"))</f>
        <v>High Sales</v>
      </c>
    </row>
    <row r="53" spans="1:13" x14ac:dyDescent="0.3">
      <c r="A53" t="s">
        <v>106</v>
      </c>
      <c r="B53">
        <v>10.195</v>
      </c>
      <c r="C53" t="s">
        <v>38</v>
      </c>
      <c r="D53">
        <v>0.159803853</v>
      </c>
      <c r="E53" t="s">
        <v>15</v>
      </c>
      <c r="F53">
        <v>141.5154</v>
      </c>
      <c r="G53" t="s">
        <v>51</v>
      </c>
      <c r="H53">
        <v>1987</v>
      </c>
      <c r="I53" t="s">
        <v>52</v>
      </c>
      <c r="J53" t="s">
        <v>9</v>
      </c>
      <c r="K53" t="s">
        <v>41</v>
      </c>
      <c r="L53">
        <v>850.89239999999995</v>
      </c>
      <c r="M53" t="str">
        <f>IF(Table1[[#This Row],[Item_Outlet_Sales]]&gt;=3000,"High Sales",IF(Table1[[#This Row],[Item_Outlet_Sales]]&gt;=1500,"Medium Sales","Low Sales"))</f>
        <v>Low Sales</v>
      </c>
    </row>
    <row r="54" spans="1:13" x14ac:dyDescent="0.3">
      <c r="A54" t="s">
        <v>107</v>
      </c>
      <c r="B54">
        <v>9.8949999999999996</v>
      </c>
      <c r="C54" t="s">
        <v>43</v>
      </c>
      <c r="D54">
        <v>2.8696932000000001E-2</v>
      </c>
      <c r="E54" t="s">
        <v>13</v>
      </c>
      <c r="F54">
        <v>117.0492</v>
      </c>
      <c r="G54" t="s">
        <v>51</v>
      </c>
      <c r="H54">
        <v>1987</v>
      </c>
      <c r="I54" t="s">
        <v>52</v>
      </c>
      <c r="J54" t="s">
        <v>9</v>
      </c>
      <c r="K54" t="s">
        <v>41</v>
      </c>
      <c r="L54">
        <v>810.94439999999997</v>
      </c>
      <c r="M54" t="str">
        <f>IF(Table1[[#This Row],[Item_Outlet_Sales]]&gt;=3000,"High Sales",IF(Table1[[#This Row],[Item_Outlet_Sales]]&gt;=1500,"Medium Sales","Low Sales"))</f>
        <v>Low Sales</v>
      </c>
    </row>
    <row r="55" spans="1:13" x14ac:dyDescent="0.3">
      <c r="A55" t="s">
        <v>108</v>
      </c>
      <c r="B55">
        <v>10.895</v>
      </c>
      <c r="C55" t="s">
        <v>38</v>
      </c>
      <c r="D55">
        <v>6.5041581000000001E-2</v>
      </c>
      <c r="E55" t="s">
        <v>16</v>
      </c>
      <c r="F55">
        <v>196.3794</v>
      </c>
      <c r="G55" t="s">
        <v>61</v>
      </c>
      <c r="H55">
        <v>2007</v>
      </c>
      <c r="I55" t="s">
        <v>52</v>
      </c>
      <c r="J55" t="s">
        <v>8</v>
      </c>
      <c r="K55" t="s">
        <v>41</v>
      </c>
      <c r="L55">
        <v>3121.2703999999999</v>
      </c>
      <c r="M55" t="str">
        <f>IF(Table1[[#This Row],[Item_Outlet_Sales]]&gt;=3000,"High Sales",IF(Table1[[#This Row],[Item_Outlet_Sales]]&gt;=1500,"Medium Sales","Low Sales"))</f>
        <v>High Sales</v>
      </c>
    </row>
    <row r="56" spans="1:13" x14ac:dyDescent="0.3">
      <c r="A56" t="s">
        <v>109</v>
      </c>
      <c r="B56">
        <v>12.15</v>
      </c>
      <c r="C56" t="s">
        <v>38</v>
      </c>
      <c r="D56">
        <v>2.8760013000000001E-2</v>
      </c>
      <c r="E56" t="s">
        <v>19</v>
      </c>
      <c r="F56">
        <v>151.4708</v>
      </c>
      <c r="G56" t="s">
        <v>61</v>
      </c>
      <c r="H56">
        <v>2007</v>
      </c>
      <c r="I56" t="s">
        <v>52</v>
      </c>
      <c r="J56" t="s">
        <v>8</v>
      </c>
      <c r="K56" t="s">
        <v>41</v>
      </c>
      <c r="L56">
        <v>4815.0655999999999</v>
      </c>
      <c r="M56" t="str">
        <f>IF(Table1[[#This Row],[Item_Outlet_Sales]]&gt;=3000,"High Sales",IF(Table1[[#This Row],[Item_Outlet_Sales]]&gt;=1500,"Medium Sales","Low Sales"))</f>
        <v>High Sales</v>
      </c>
    </row>
    <row r="57" spans="1:13" x14ac:dyDescent="0.3">
      <c r="A57" t="s">
        <v>110</v>
      </c>
      <c r="B57">
        <v>7.9050000000000002</v>
      </c>
      <c r="C57" t="s">
        <v>38</v>
      </c>
      <c r="D57">
        <v>1.0053105E-2</v>
      </c>
      <c r="E57" t="s">
        <v>21</v>
      </c>
      <c r="F57">
        <v>249.04079999999999</v>
      </c>
      <c r="G57" t="s">
        <v>44</v>
      </c>
      <c r="H57">
        <v>2009</v>
      </c>
      <c r="I57" t="s">
        <v>40</v>
      </c>
      <c r="J57" t="s">
        <v>9</v>
      </c>
      <c r="K57" t="s">
        <v>45</v>
      </c>
      <c r="L57">
        <v>6258.52</v>
      </c>
      <c r="M57" t="str">
        <f>IF(Table1[[#This Row],[Item_Outlet_Sales]]&gt;=3000,"High Sales",IF(Table1[[#This Row],[Item_Outlet_Sales]]&gt;=1500,"Medium Sales","Low Sales"))</f>
        <v>High Sales</v>
      </c>
    </row>
    <row r="58" spans="1:13" x14ac:dyDescent="0.3">
      <c r="A58" t="s">
        <v>111</v>
      </c>
      <c r="B58">
        <v>9.1950000000000003</v>
      </c>
      <c r="C58" t="s">
        <v>38</v>
      </c>
      <c r="D58">
        <v>4.8157338000000001E-2</v>
      </c>
      <c r="E58" t="s">
        <v>19</v>
      </c>
      <c r="F58">
        <v>106.1622</v>
      </c>
      <c r="G58" t="s">
        <v>59</v>
      </c>
      <c r="H58">
        <v>2002</v>
      </c>
      <c r="I58" t="s">
        <v>40</v>
      </c>
      <c r="J58" t="s">
        <v>8</v>
      </c>
      <c r="K58" t="s">
        <v>41</v>
      </c>
      <c r="L58">
        <v>2117.2440000000001</v>
      </c>
      <c r="M58" t="str">
        <f>IF(Table1[[#This Row],[Item_Outlet_Sales]]&gt;=3000,"High Sales",IF(Table1[[#This Row],[Item_Outlet_Sales]]&gt;=1500,"Medium Sales","Low Sales"))</f>
        <v>Medium Sales</v>
      </c>
    </row>
    <row r="59" spans="1:13" x14ac:dyDescent="0.3">
      <c r="A59" t="s">
        <v>112</v>
      </c>
      <c r="B59">
        <v>8.3650000000000002</v>
      </c>
      <c r="C59" t="s">
        <v>38</v>
      </c>
      <c r="D59">
        <v>7.1958197000000002E-2</v>
      </c>
      <c r="E59" t="s">
        <v>17</v>
      </c>
      <c r="F59">
        <v>38.050600000000003</v>
      </c>
      <c r="G59" t="s">
        <v>39</v>
      </c>
      <c r="H59">
        <v>1999</v>
      </c>
      <c r="I59" t="s">
        <v>40</v>
      </c>
      <c r="J59" t="s">
        <v>3</v>
      </c>
      <c r="K59" t="s">
        <v>41</v>
      </c>
      <c r="L59">
        <v>796.96259999999995</v>
      </c>
      <c r="M59" t="str">
        <f>IF(Table1[[#This Row],[Item_Outlet_Sales]]&gt;=3000,"High Sales",IF(Table1[[#This Row],[Item_Outlet_Sales]]&gt;=1500,"Medium Sales","Low Sales"))</f>
        <v>Low Sales</v>
      </c>
    </row>
    <row r="60" spans="1:13" x14ac:dyDescent="0.3">
      <c r="A60" t="s">
        <v>113</v>
      </c>
      <c r="B60">
        <v>15.1</v>
      </c>
      <c r="C60" t="s">
        <v>38</v>
      </c>
      <c r="D60">
        <v>0.173481304</v>
      </c>
      <c r="E60" t="s">
        <v>21</v>
      </c>
      <c r="F60">
        <v>194.511</v>
      </c>
      <c r="G60" t="s">
        <v>64</v>
      </c>
      <c r="H60">
        <v>1997</v>
      </c>
      <c r="I60" t="s">
        <v>65</v>
      </c>
      <c r="J60" t="s">
        <v>3</v>
      </c>
      <c r="K60" t="s">
        <v>41</v>
      </c>
      <c r="L60">
        <v>4910.2749999999996</v>
      </c>
      <c r="M60" t="str">
        <f>IF(Table1[[#This Row],[Item_Outlet_Sales]]&gt;=3000,"High Sales",IF(Table1[[#This Row],[Item_Outlet_Sales]]&gt;=1500,"Medium Sales","Low Sales"))</f>
        <v>High Sales</v>
      </c>
    </row>
    <row r="61" spans="1:13" x14ac:dyDescent="0.3">
      <c r="A61" t="s">
        <v>114</v>
      </c>
      <c r="C61" t="s">
        <v>38</v>
      </c>
      <c r="D61">
        <v>6.1082177000000001E-2</v>
      </c>
      <c r="E61" t="s">
        <v>13</v>
      </c>
      <c r="F61">
        <v>180.03440000000001</v>
      </c>
      <c r="G61" t="s">
        <v>78</v>
      </c>
      <c r="H61">
        <v>1985</v>
      </c>
      <c r="I61" t="s">
        <v>65</v>
      </c>
      <c r="J61" t="s">
        <v>3</v>
      </c>
      <c r="K61" t="s">
        <v>49</v>
      </c>
      <c r="L61">
        <v>892.17200000000003</v>
      </c>
      <c r="M61" t="str">
        <f>IF(Table1[[#This Row],[Item_Outlet_Sales]]&gt;=3000,"High Sales",IF(Table1[[#This Row],[Item_Outlet_Sales]]&gt;=1500,"Medium Sales","Low Sales"))</f>
        <v>Low Sales</v>
      </c>
    </row>
    <row r="62" spans="1:13" x14ac:dyDescent="0.3">
      <c r="A62" t="s">
        <v>115</v>
      </c>
      <c r="B62">
        <v>10</v>
      </c>
      <c r="C62" t="s">
        <v>38</v>
      </c>
      <c r="D62">
        <v>0</v>
      </c>
      <c r="E62" t="s">
        <v>16</v>
      </c>
      <c r="F62">
        <v>246.9144</v>
      </c>
      <c r="G62" t="s">
        <v>44</v>
      </c>
      <c r="H62">
        <v>2009</v>
      </c>
      <c r="I62" t="s">
        <v>40</v>
      </c>
      <c r="J62" t="s">
        <v>9</v>
      </c>
      <c r="K62" t="s">
        <v>45</v>
      </c>
      <c r="L62">
        <v>3185.1871999999998</v>
      </c>
      <c r="M62" t="str">
        <f>IF(Table1[[#This Row],[Item_Outlet_Sales]]&gt;=3000,"High Sales",IF(Table1[[#This Row],[Item_Outlet_Sales]]&gt;=1500,"Medium Sales","Low Sales"))</f>
        <v>High Sales</v>
      </c>
    </row>
    <row r="63" spans="1:13" x14ac:dyDescent="0.3">
      <c r="A63" t="s">
        <v>116</v>
      </c>
      <c r="B63">
        <v>7.97</v>
      </c>
      <c r="C63" t="s">
        <v>43</v>
      </c>
      <c r="D63">
        <v>4.0071131000000003E-2</v>
      </c>
      <c r="E63" t="s">
        <v>20</v>
      </c>
      <c r="F63">
        <v>87.351399999999998</v>
      </c>
      <c r="G63" t="s">
        <v>59</v>
      </c>
      <c r="H63">
        <v>2002</v>
      </c>
      <c r="I63" t="s">
        <v>40</v>
      </c>
      <c r="J63" t="s">
        <v>8</v>
      </c>
      <c r="K63" t="s">
        <v>41</v>
      </c>
      <c r="L63">
        <v>1062.6168</v>
      </c>
      <c r="M63" t="str">
        <f>IF(Table1[[#This Row],[Item_Outlet_Sales]]&gt;=3000,"High Sales",IF(Table1[[#This Row],[Item_Outlet_Sales]]&gt;=1500,"Medium Sales","Low Sales"))</f>
        <v>Low Sales</v>
      </c>
    </row>
    <row r="64" spans="1:13" x14ac:dyDescent="0.3">
      <c r="A64" t="s">
        <v>117</v>
      </c>
      <c r="C64" t="s">
        <v>38</v>
      </c>
      <c r="D64">
        <v>1.2090073999999999E-2</v>
      </c>
      <c r="E64" t="s">
        <v>16</v>
      </c>
      <c r="F64">
        <v>38.284799999999997</v>
      </c>
      <c r="G64" t="s">
        <v>56</v>
      </c>
      <c r="H64">
        <v>1985</v>
      </c>
      <c r="I64" t="s">
        <v>40</v>
      </c>
      <c r="J64" t="s">
        <v>9</v>
      </c>
      <c r="K64" t="s">
        <v>57</v>
      </c>
      <c r="L64">
        <v>484.70240000000001</v>
      </c>
      <c r="M64" t="str">
        <f>IF(Table1[[#This Row],[Item_Outlet_Sales]]&gt;=3000,"High Sales",IF(Table1[[#This Row],[Item_Outlet_Sales]]&gt;=1500,"Medium Sales","Low Sales"))</f>
        <v>Low Sales</v>
      </c>
    </row>
    <row r="65" spans="1:13" x14ac:dyDescent="0.3">
      <c r="A65" t="s">
        <v>118</v>
      </c>
      <c r="C65" t="s">
        <v>43</v>
      </c>
      <c r="D65">
        <v>0.15028599000000001</v>
      </c>
      <c r="E65" t="s">
        <v>15</v>
      </c>
      <c r="F65">
        <v>51.069200000000002</v>
      </c>
      <c r="G65" t="s">
        <v>78</v>
      </c>
      <c r="H65">
        <v>1985</v>
      </c>
      <c r="I65" t="s">
        <v>65</v>
      </c>
      <c r="J65" t="s">
        <v>3</v>
      </c>
      <c r="K65" t="s">
        <v>49</v>
      </c>
      <c r="L65">
        <v>147.80760000000001</v>
      </c>
      <c r="M65" t="str">
        <f>IF(Table1[[#This Row],[Item_Outlet_Sales]]&gt;=3000,"High Sales",IF(Table1[[#This Row],[Item_Outlet_Sales]]&gt;=1500,"Medium Sales","Low Sales"))</f>
        <v>Low Sales</v>
      </c>
    </row>
    <row r="66" spans="1:13" x14ac:dyDescent="0.3">
      <c r="A66" t="s">
        <v>119</v>
      </c>
      <c r="C66" t="s">
        <v>38</v>
      </c>
      <c r="D66">
        <v>2.6015519000000001E-2</v>
      </c>
      <c r="E66" t="s">
        <v>21</v>
      </c>
      <c r="F66">
        <v>255.8356</v>
      </c>
      <c r="G66" t="s">
        <v>56</v>
      </c>
      <c r="H66">
        <v>1985</v>
      </c>
      <c r="I66" t="s">
        <v>40</v>
      </c>
      <c r="J66" t="s">
        <v>9</v>
      </c>
      <c r="K66" t="s">
        <v>57</v>
      </c>
      <c r="L66">
        <v>2543.3560000000002</v>
      </c>
      <c r="M66" t="str">
        <f>IF(Table1[[#This Row],[Item_Outlet_Sales]]&gt;=3000,"High Sales",IF(Table1[[#This Row],[Item_Outlet_Sales]]&gt;=1500,"Medium Sales","Low Sales"))</f>
        <v>Medium Sales</v>
      </c>
    </row>
    <row r="67" spans="1:13" x14ac:dyDescent="0.3">
      <c r="A67" t="s">
        <v>120</v>
      </c>
      <c r="B67">
        <v>17.7</v>
      </c>
      <c r="C67" t="s">
        <v>38</v>
      </c>
      <c r="D67">
        <v>0.19506822600000001</v>
      </c>
      <c r="E67" t="s">
        <v>21</v>
      </c>
      <c r="F67">
        <v>185.42660000000001</v>
      </c>
      <c r="G67" t="s">
        <v>48</v>
      </c>
      <c r="H67">
        <v>1998</v>
      </c>
      <c r="I67" t="s">
        <v>40</v>
      </c>
      <c r="J67" t="s">
        <v>9</v>
      </c>
      <c r="K67" t="s">
        <v>49</v>
      </c>
      <c r="L67">
        <v>184.42660000000001</v>
      </c>
      <c r="M67" t="str">
        <f>IF(Table1[[#This Row],[Item_Outlet_Sales]]&gt;=3000,"High Sales",IF(Table1[[#This Row],[Item_Outlet_Sales]]&gt;=1500,"Medium Sales","Low Sales"))</f>
        <v>Low Sales</v>
      </c>
    </row>
    <row r="68" spans="1:13" x14ac:dyDescent="0.3">
      <c r="A68" t="s">
        <v>121</v>
      </c>
      <c r="B68">
        <v>19.350000000000001</v>
      </c>
      <c r="C68" t="s">
        <v>38</v>
      </c>
      <c r="D68">
        <v>3.3082214999999998E-2</v>
      </c>
      <c r="E68" t="s">
        <v>20</v>
      </c>
      <c r="F68">
        <v>172.57380000000001</v>
      </c>
      <c r="G68" t="s">
        <v>73</v>
      </c>
      <c r="H68">
        <v>2004</v>
      </c>
      <c r="I68" t="s">
        <v>65</v>
      </c>
      <c r="J68" t="s">
        <v>8</v>
      </c>
      <c r="K68" t="s">
        <v>41</v>
      </c>
      <c r="L68">
        <v>4865.6664000000001</v>
      </c>
      <c r="M68" t="str">
        <f>IF(Table1[[#This Row],[Item_Outlet_Sales]]&gt;=3000,"High Sales",IF(Table1[[#This Row],[Item_Outlet_Sales]]&gt;=1500,"Medium Sales","Low Sales"))</f>
        <v>High Sales</v>
      </c>
    </row>
    <row r="69" spans="1:13" x14ac:dyDescent="0.3">
      <c r="A69" t="s">
        <v>122</v>
      </c>
      <c r="B69">
        <v>13.65</v>
      </c>
      <c r="C69" t="s">
        <v>43</v>
      </c>
      <c r="D69">
        <v>7.8946454999999999E-2</v>
      </c>
      <c r="E69" t="s">
        <v>14</v>
      </c>
      <c r="F69">
        <v>186.024</v>
      </c>
      <c r="G69" t="s">
        <v>59</v>
      </c>
      <c r="H69">
        <v>2002</v>
      </c>
      <c r="I69" t="s">
        <v>65</v>
      </c>
      <c r="J69" t="s">
        <v>8</v>
      </c>
      <c r="K69" t="s">
        <v>41</v>
      </c>
      <c r="L69">
        <v>1118.5440000000001</v>
      </c>
      <c r="M69" t="str">
        <f>IF(Table1[[#This Row],[Item_Outlet_Sales]]&gt;=3000,"High Sales",IF(Table1[[#This Row],[Item_Outlet_Sales]]&gt;=1500,"Medium Sales","Low Sales"))</f>
        <v>Low Sales</v>
      </c>
    </row>
    <row r="70" spans="1:13" x14ac:dyDescent="0.3">
      <c r="A70" t="s">
        <v>123</v>
      </c>
      <c r="B70">
        <v>17.600000000000001</v>
      </c>
      <c r="C70" t="s">
        <v>38</v>
      </c>
      <c r="D70">
        <v>4.1700755999999999E-2</v>
      </c>
      <c r="E70" t="s">
        <v>22</v>
      </c>
      <c r="F70">
        <v>164.8526</v>
      </c>
      <c r="G70" t="s">
        <v>59</v>
      </c>
      <c r="H70">
        <v>2002</v>
      </c>
      <c r="I70" t="s">
        <v>65</v>
      </c>
      <c r="J70" t="s">
        <v>8</v>
      </c>
      <c r="K70" t="s">
        <v>41</v>
      </c>
      <c r="L70">
        <v>2302.3364000000001</v>
      </c>
      <c r="M70" t="str">
        <f>IF(Table1[[#This Row],[Item_Outlet_Sales]]&gt;=3000,"High Sales",IF(Table1[[#This Row],[Item_Outlet_Sales]]&gt;=1500,"Medium Sales","Low Sales"))</f>
        <v>Medium Sales</v>
      </c>
    </row>
    <row r="71" spans="1:13" x14ac:dyDescent="0.3">
      <c r="A71" t="s">
        <v>124</v>
      </c>
      <c r="B71">
        <v>8.6449999999999996</v>
      </c>
      <c r="C71" t="s">
        <v>38</v>
      </c>
      <c r="D71">
        <v>0.14342264299999999</v>
      </c>
      <c r="E71" t="s">
        <v>18</v>
      </c>
      <c r="F71">
        <v>95.840999999999994</v>
      </c>
      <c r="G71" t="s">
        <v>64</v>
      </c>
      <c r="H71">
        <v>1997</v>
      </c>
      <c r="I71" t="s">
        <v>65</v>
      </c>
      <c r="J71" t="s">
        <v>3</v>
      </c>
      <c r="K71" t="s">
        <v>41</v>
      </c>
      <c r="L71">
        <v>2027.3610000000001</v>
      </c>
      <c r="M71" t="str">
        <f>IF(Table1[[#This Row],[Item_Outlet_Sales]]&gt;=3000,"High Sales",IF(Table1[[#This Row],[Item_Outlet_Sales]]&gt;=1500,"Medium Sales","Low Sales"))</f>
        <v>Medium Sales</v>
      </c>
    </row>
    <row r="72" spans="1:13" x14ac:dyDescent="0.3">
      <c r="A72" t="s">
        <v>125</v>
      </c>
      <c r="B72">
        <v>15.6</v>
      </c>
      <c r="C72" t="s">
        <v>43</v>
      </c>
      <c r="D72">
        <v>0.105296072</v>
      </c>
      <c r="E72" t="s">
        <v>21</v>
      </c>
      <c r="F72">
        <v>170.1764</v>
      </c>
      <c r="G72" t="s">
        <v>64</v>
      </c>
      <c r="H72">
        <v>1997</v>
      </c>
      <c r="I72" t="s">
        <v>52</v>
      </c>
      <c r="J72" t="s">
        <v>3</v>
      </c>
      <c r="K72" t="s">
        <v>41</v>
      </c>
      <c r="L72">
        <v>3435.5279999999998</v>
      </c>
      <c r="M72" t="str">
        <f>IF(Table1[[#This Row],[Item_Outlet_Sales]]&gt;=3000,"High Sales",IF(Table1[[#This Row],[Item_Outlet_Sales]]&gt;=1500,"Medium Sales","Low Sales"))</f>
        <v>High Sales</v>
      </c>
    </row>
    <row r="73" spans="1:13" x14ac:dyDescent="0.3">
      <c r="A73" t="s">
        <v>103</v>
      </c>
      <c r="B73">
        <v>15.85</v>
      </c>
      <c r="C73" t="s">
        <v>43</v>
      </c>
      <c r="D73">
        <v>0.121531501</v>
      </c>
      <c r="E73" t="s">
        <v>10</v>
      </c>
      <c r="F73">
        <v>59.222000000000001</v>
      </c>
      <c r="G73" t="s">
        <v>51</v>
      </c>
      <c r="H73">
        <v>1987</v>
      </c>
      <c r="I73" t="s">
        <v>52</v>
      </c>
      <c r="J73" t="s">
        <v>9</v>
      </c>
      <c r="K73" t="s">
        <v>41</v>
      </c>
      <c r="L73">
        <v>599.22</v>
      </c>
      <c r="M73" t="str">
        <f>IF(Table1[[#This Row],[Item_Outlet_Sales]]&gt;=3000,"High Sales",IF(Table1[[#This Row],[Item_Outlet_Sales]]&gt;=1500,"Medium Sales","Low Sales"))</f>
        <v>Low Sales</v>
      </c>
    </row>
    <row r="74" spans="1:13" x14ac:dyDescent="0.3">
      <c r="A74" t="s">
        <v>126</v>
      </c>
      <c r="B74">
        <v>18.25</v>
      </c>
      <c r="C74" t="s">
        <v>38</v>
      </c>
      <c r="D74">
        <v>0</v>
      </c>
      <c r="E74" t="s">
        <v>23</v>
      </c>
      <c r="F74">
        <v>164.7526</v>
      </c>
      <c r="G74" t="s">
        <v>59</v>
      </c>
      <c r="H74">
        <v>2002</v>
      </c>
      <c r="I74" t="s">
        <v>52</v>
      </c>
      <c r="J74" t="s">
        <v>8</v>
      </c>
      <c r="K74" t="s">
        <v>41</v>
      </c>
      <c r="L74">
        <v>4604.6728000000003</v>
      </c>
      <c r="M74" t="str">
        <f>IF(Table1[[#This Row],[Item_Outlet_Sales]]&gt;=3000,"High Sales",IF(Table1[[#This Row],[Item_Outlet_Sales]]&gt;=1500,"Medium Sales","Low Sales"))</f>
        <v>High Sales</v>
      </c>
    </row>
    <row r="75" spans="1:13" x14ac:dyDescent="0.3">
      <c r="A75" t="s">
        <v>127</v>
      </c>
      <c r="B75">
        <v>7.8550000000000004</v>
      </c>
      <c r="C75" t="s">
        <v>38</v>
      </c>
      <c r="D75">
        <v>1.1324862E-2</v>
      </c>
      <c r="E75" t="s">
        <v>13</v>
      </c>
      <c r="F75">
        <v>189.61879999999999</v>
      </c>
      <c r="G75" t="s">
        <v>61</v>
      </c>
      <c r="H75">
        <v>2007</v>
      </c>
      <c r="I75" t="s">
        <v>52</v>
      </c>
      <c r="J75" t="s">
        <v>8</v>
      </c>
      <c r="K75" t="s">
        <v>41</v>
      </c>
      <c r="L75">
        <v>2285.0255999999999</v>
      </c>
      <c r="M75" t="str">
        <f>IF(Table1[[#This Row],[Item_Outlet_Sales]]&gt;=3000,"High Sales",IF(Table1[[#This Row],[Item_Outlet_Sales]]&gt;=1500,"Medium Sales","Low Sales"))</f>
        <v>Medium Sales</v>
      </c>
    </row>
    <row r="76" spans="1:13" x14ac:dyDescent="0.3">
      <c r="A76" t="s">
        <v>128</v>
      </c>
      <c r="B76">
        <v>7.8250000000000002</v>
      </c>
      <c r="C76" t="s">
        <v>83</v>
      </c>
      <c r="D76">
        <v>0.186357148</v>
      </c>
      <c r="E76" t="s">
        <v>19</v>
      </c>
      <c r="F76">
        <v>254.3698</v>
      </c>
      <c r="G76" t="s">
        <v>39</v>
      </c>
      <c r="H76">
        <v>1999</v>
      </c>
      <c r="I76" t="s">
        <v>40</v>
      </c>
      <c r="J76" t="s">
        <v>3</v>
      </c>
      <c r="K76" t="s">
        <v>41</v>
      </c>
      <c r="L76">
        <v>5580.7356</v>
      </c>
      <c r="M76" t="str">
        <f>IF(Table1[[#This Row],[Item_Outlet_Sales]]&gt;=3000,"High Sales",IF(Table1[[#This Row],[Item_Outlet_Sales]]&gt;=1500,"Medium Sales","Low Sales"))</f>
        <v>High Sales</v>
      </c>
    </row>
    <row r="77" spans="1:13" x14ac:dyDescent="0.3">
      <c r="A77" t="s">
        <v>129</v>
      </c>
      <c r="B77">
        <v>8.39</v>
      </c>
      <c r="C77" t="s">
        <v>43</v>
      </c>
      <c r="D77">
        <v>2.4205661E-2</v>
      </c>
      <c r="E77" t="s">
        <v>15</v>
      </c>
      <c r="F77">
        <v>114.0176</v>
      </c>
      <c r="G77" t="s">
        <v>64</v>
      </c>
      <c r="H77">
        <v>1997</v>
      </c>
      <c r="I77" t="s">
        <v>65</v>
      </c>
      <c r="J77" t="s">
        <v>3</v>
      </c>
      <c r="K77" t="s">
        <v>41</v>
      </c>
      <c r="L77">
        <v>2290.3519999999999</v>
      </c>
      <c r="M77" t="str">
        <f>IF(Table1[[#This Row],[Item_Outlet_Sales]]&gt;=3000,"High Sales",IF(Table1[[#This Row],[Item_Outlet_Sales]]&gt;=1500,"Medium Sales","Low Sales"))</f>
        <v>Medium Sales</v>
      </c>
    </row>
    <row r="78" spans="1:13" x14ac:dyDescent="0.3">
      <c r="A78" t="s">
        <v>130</v>
      </c>
      <c r="B78">
        <v>12.85</v>
      </c>
      <c r="C78" t="s">
        <v>38</v>
      </c>
      <c r="D78">
        <v>3.3230816000000003E-2</v>
      </c>
      <c r="E78" t="s">
        <v>21</v>
      </c>
      <c r="F78">
        <v>172.34219999999999</v>
      </c>
      <c r="G78" t="s">
        <v>39</v>
      </c>
      <c r="H78">
        <v>1999</v>
      </c>
      <c r="I78" t="s">
        <v>40</v>
      </c>
      <c r="J78" t="s">
        <v>3</v>
      </c>
      <c r="K78" t="s">
        <v>41</v>
      </c>
      <c r="L78">
        <v>1207.0953999999999</v>
      </c>
      <c r="M78" t="str">
        <f>IF(Table1[[#This Row],[Item_Outlet_Sales]]&gt;=3000,"High Sales",IF(Table1[[#This Row],[Item_Outlet_Sales]]&gt;=1500,"Medium Sales","Low Sales"))</f>
        <v>Low Sales</v>
      </c>
    </row>
    <row r="79" spans="1:13" x14ac:dyDescent="0.3">
      <c r="A79" t="s">
        <v>131</v>
      </c>
      <c r="C79" t="s">
        <v>38</v>
      </c>
      <c r="D79">
        <v>0.113720344</v>
      </c>
      <c r="E79" t="s">
        <v>10</v>
      </c>
      <c r="F79">
        <v>89.980400000000003</v>
      </c>
      <c r="G79" t="s">
        <v>78</v>
      </c>
      <c r="H79">
        <v>1985</v>
      </c>
      <c r="I79" t="s">
        <v>65</v>
      </c>
      <c r="J79" t="s">
        <v>3</v>
      </c>
      <c r="K79" t="s">
        <v>49</v>
      </c>
      <c r="L79">
        <v>643.16279999999995</v>
      </c>
      <c r="M79" t="str">
        <f>IF(Table1[[#This Row],[Item_Outlet_Sales]]&gt;=3000,"High Sales",IF(Table1[[#This Row],[Item_Outlet_Sales]]&gt;=1500,"Medium Sales","Low Sales"))</f>
        <v>Low Sales</v>
      </c>
    </row>
    <row r="80" spans="1:13" x14ac:dyDescent="0.3">
      <c r="A80" t="s">
        <v>132</v>
      </c>
      <c r="B80">
        <v>19</v>
      </c>
      <c r="C80" t="s">
        <v>38</v>
      </c>
      <c r="D80">
        <v>0.112556507</v>
      </c>
      <c r="E80" t="s">
        <v>15</v>
      </c>
      <c r="F80">
        <v>104.9622</v>
      </c>
      <c r="G80" t="s">
        <v>61</v>
      </c>
      <c r="H80">
        <v>2007</v>
      </c>
      <c r="I80" t="s">
        <v>65</v>
      </c>
      <c r="J80" t="s">
        <v>8</v>
      </c>
      <c r="K80" t="s">
        <v>41</v>
      </c>
      <c r="L80">
        <v>1587.933</v>
      </c>
      <c r="M80" t="str">
        <f>IF(Table1[[#This Row],[Item_Outlet_Sales]]&gt;=3000,"High Sales",IF(Table1[[#This Row],[Item_Outlet_Sales]]&gt;=1500,"Medium Sales","Low Sales"))</f>
        <v>Medium Sales</v>
      </c>
    </row>
    <row r="81" spans="1:13" x14ac:dyDescent="0.3">
      <c r="A81" t="s">
        <v>133</v>
      </c>
      <c r="B81">
        <v>5.9050000000000002</v>
      </c>
      <c r="C81" t="s">
        <v>38</v>
      </c>
      <c r="D81">
        <v>0</v>
      </c>
      <c r="E81" t="s">
        <v>13</v>
      </c>
      <c r="F81">
        <v>222.54560000000001</v>
      </c>
      <c r="G81" t="s">
        <v>59</v>
      </c>
      <c r="H81">
        <v>2002</v>
      </c>
      <c r="I81" t="s">
        <v>65</v>
      </c>
      <c r="J81" t="s">
        <v>8</v>
      </c>
      <c r="K81" t="s">
        <v>41</v>
      </c>
      <c r="L81">
        <v>5305.0944</v>
      </c>
      <c r="M81" t="str">
        <f>IF(Table1[[#This Row],[Item_Outlet_Sales]]&gt;=3000,"High Sales",IF(Table1[[#This Row],[Item_Outlet_Sales]]&gt;=1500,"Medium Sales","Low Sales"))</f>
        <v>High Sales</v>
      </c>
    </row>
    <row r="82" spans="1:13" x14ac:dyDescent="0.3">
      <c r="A82" t="s">
        <v>134</v>
      </c>
      <c r="B82">
        <v>7.76</v>
      </c>
      <c r="C82" t="s">
        <v>38</v>
      </c>
      <c r="D82">
        <v>5.9352241E-2</v>
      </c>
      <c r="E82" t="s">
        <v>21</v>
      </c>
      <c r="F82">
        <v>101.87</v>
      </c>
      <c r="G82" t="s">
        <v>64</v>
      </c>
      <c r="H82">
        <v>1997</v>
      </c>
      <c r="I82" t="s">
        <v>65</v>
      </c>
      <c r="J82" t="s">
        <v>3</v>
      </c>
      <c r="K82" t="s">
        <v>41</v>
      </c>
      <c r="L82">
        <v>1697.79</v>
      </c>
      <c r="M82" t="str">
        <f>IF(Table1[[#This Row],[Item_Outlet_Sales]]&gt;=3000,"High Sales",IF(Table1[[#This Row],[Item_Outlet_Sales]]&gt;=1500,"Medium Sales","Low Sales"))</f>
        <v>Medium Sales</v>
      </c>
    </row>
    <row r="83" spans="1:13" x14ac:dyDescent="0.3">
      <c r="A83" t="s">
        <v>135</v>
      </c>
      <c r="B83">
        <v>11.8</v>
      </c>
      <c r="C83" t="s">
        <v>43</v>
      </c>
      <c r="D83">
        <v>1.4087057E-2</v>
      </c>
      <c r="E83" t="s">
        <v>15</v>
      </c>
      <c r="F83">
        <v>180.33439999999999</v>
      </c>
      <c r="G83" t="s">
        <v>64</v>
      </c>
      <c r="H83">
        <v>1997</v>
      </c>
      <c r="I83" t="s">
        <v>65</v>
      </c>
      <c r="J83" t="s">
        <v>3</v>
      </c>
      <c r="K83" t="s">
        <v>41</v>
      </c>
      <c r="L83">
        <v>1427.4752000000001</v>
      </c>
      <c r="M83" t="str">
        <f>IF(Table1[[#This Row],[Item_Outlet_Sales]]&gt;=3000,"High Sales",IF(Table1[[#This Row],[Item_Outlet_Sales]]&gt;=1500,"Medium Sales","Low Sales"))</f>
        <v>Low Sales</v>
      </c>
    </row>
    <row r="84" spans="1:13" x14ac:dyDescent="0.3">
      <c r="A84" t="s">
        <v>136</v>
      </c>
      <c r="B84">
        <v>16.75</v>
      </c>
      <c r="C84" t="s">
        <v>83</v>
      </c>
      <c r="D84">
        <v>4.5230944000000002E-2</v>
      </c>
      <c r="E84" t="s">
        <v>21</v>
      </c>
      <c r="F84">
        <v>187.9556</v>
      </c>
      <c r="G84" t="s">
        <v>44</v>
      </c>
      <c r="H84">
        <v>2009</v>
      </c>
      <c r="I84" t="s">
        <v>40</v>
      </c>
      <c r="J84" t="s">
        <v>9</v>
      </c>
      <c r="K84" t="s">
        <v>45</v>
      </c>
      <c r="L84">
        <v>4693.8900000000003</v>
      </c>
      <c r="M84" t="str">
        <f>IF(Table1[[#This Row],[Item_Outlet_Sales]]&gt;=3000,"High Sales",IF(Table1[[#This Row],[Item_Outlet_Sales]]&gt;=1500,"Medium Sales","Low Sales"))</f>
        <v>High Sales</v>
      </c>
    </row>
    <row r="85" spans="1:13" x14ac:dyDescent="0.3">
      <c r="A85" t="s">
        <v>137</v>
      </c>
      <c r="C85" t="s">
        <v>38</v>
      </c>
      <c r="D85">
        <v>0.293417759</v>
      </c>
      <c r="E85" t="s">
        <v>19</v>
      </c>
      <c r="F85">
        <v>194.61359999999999</v>
      </c>
      <c r="G85" t="s">
        <v>78</v>
      </c>
      <c r="H85">
        <v>1985</v>
      </c>
      <c r="I85" t="s">
        <v>65</v>
      </c>
      <c r="J85" t="s">
        <v>3</v>
      </c>
      <c r="K85" t="s">
        <v>49</v>
      </c>
      <c r="L85">
        <v>583.24080000000004</v>
      </c>
      <c r="M85" t="str">
        <f>IF(Table1[[#This Row],[Item_Outlet_Sales]]&gt;=3000,"High Sales",IF(Table1[[#This Row],[Item_Outlet_Sales]]&gt;=1500,"Medium Sales","Low Sales"))</f>
        <v>Low Sales</v>
      </c>
    </row>
    <row r="86" spans="1:13" x14ac:dyDescent="0.3">
      <c r="A86" t="s">
        <v>138</v>
      </c>
      <c r="C86" t="s">
        <v>43</v>
      </c>
      <c r="D86">
        <v>3.1382043999999998E-2</v>
      </c>
      <c r="E86" t="s">
        <v>10</v>
      </c>
      <c r="F86">
        <v>171.37639999999999</v>
      </c>
      <c r="G86" t="s">
        <v>56</v>
      </c>
      <c r="H86">
        <v>1985</v>
      </c>
      <c r="I86" t="s">
        <v>40</v>
      </c>
      <c r="J86" t="s">
        <v>9</v>
      </c>
      <c r="K86" t="s">
        <v>57</v>
      </c>
      <c r="L86">
        <v>3091.9751999999999</v>
      </c>
      <c r="M86" t="str">
        <f>IF(Table1[[#This Row],[Item_Outlet_Sales]]&gt;=3000,"High Sales",IF(Table1[[#This Row],[Item_Outlet_Sales]]&gt;=1500,"Medium Sales","Low Sales"))</f>
        <v>High Sales</v>
      </c>
    </row>
    <row r="87" spans="1:13" x14ac:dyDescent="0.3">
      <c r="A87" t="s">
        <v>139</v>
      </c>
      <c r="B87">
        <v>15.5</v>
      </c>
      <c r="C87" t="s">
        <v>43</v>
      </c>
      <c r="D87">
        <v>0.12639886</v>
      </c>
      <c r="E87" t="s">
        <v>16</v>
      </c>
      <c r="F87">
        <v>177.00280000000001</v>
      </c>
      <c r="G87" t="s">
        <v>61</v>
      </c>
      <c r="H87">
        <v>2007</v>
      </c>
      <c r="I87" t="s">
        <v>40</v>
      </c>
      <c r="J87" t="s">
        <v>8</v>
      </c>
      <c r="K87" t="s">
        <v>41</v>
      </c>
      <c r="L87">
        <v>2479.4391999999998</v>
      </c>
      <c r="M87" t="str">
        <f>IF(Table1[[#This Row],[Item_Outlet_Sales]]&gt;=3000,"High Sales",IF(Table1[[#This Row],[Item_Outlet_Sales]]&gt;=1500,"Medium Sales","Low Sales"))</f>
        <v>Medium Sales</v>
      </c>
    </row>
    <row r="88" spans="1:13" x14ac:dyDescent="0.3">
      <c r="A88" t="s">
        <v>140</v>
      </c>
      <c r="B88">
        <v>6.0549999999999997</v>
      </c>
      <c r="C88" t="s">
        <v>38</v>
      </c>
      <c r="D88">
        <v>2.5403898000000001E-2</v>
      </c>
      <c r="E88" t="s">
        <v>16</v>
      </c>
      <c r="F88">
        <v>160.99199999999999</v>
      </c>
      <c r="G88" t="s">
        <v>73</v>
      </c>
      <c r="H88">
        <v>2004</v>
      </c>
      <c r="I88" t="s">
        <v>65</v>
      </c>
      <c r="J88" t="s">
        <v>8</v>
      </c>
      <c r="K88" t="s">
        <v>41</v>
      </c>
      <c r="L88">
        <v>2716.4639999999999</v>
      </c>
      <c r="M88" t="str">
        <f>IF(Table1[[#This Row],[Item_Outlet_Sales]]&gt;=3000,"High Sales",IF(Table1[[#This Row],[Item_Outlet_Sales]]&gt;=1500,"Medium Sales","Low Sales"))</f>
        <v>Medium Sales</v>
      </c>
    </row>
    <row r="89" spans="1:13" x14ac:dyDescent="0.3">
      <c r="A89" t="s">
        <v>141</v>
      </c>
      <c r="C89" t="s">
        <v>43</v>
      </c>
      <c r="D89">
        <v>3.9057676999999999E-2</v>
      </c>
      <c r="E89" t="s">
        <v>12</v>
      </c>
      <c r="F89">
        <v>155.96299999999999</v>
      </c>
      <c r="G89" t="s">
        <v>56</v>
      </c>
      <c r="H89">
        <v>1985</v>
      </c>
      <c r="I89" t="s">
        <v>40</v>
      </c>
      <c r="J89" t="s">
        <v>9</v>
      </c>
      <c r="K89" t="s">
        <v>57</v>
      </c>
      <c r="L89">
        <v>3285.723</v>
      </c>
      <c r="M89" t="str">
        <f>IF(Table1[[#This Row],[Item_Outlet_Sales]]&gt;=3000,"High Sales",IF(Table1[[#This Row],[Item_Outlet_Sales]]&gt;=1500,"Medium Sales","Low Sales"))</f>
        <v>High Sales</v>
      </c>
    </row>
    <row r="90" spans="1:13" x14ac:dyDescent="0.3">
      <c r="A90" t="s">
        <v>142</v>
      </c>
      <c r="B90">
        <v>6.3049999999999997</v>
      </c>
      <c r="C90" t="s">
        <v>43</v>
      </c>
      <c r="D90">
        <v>0.123115764</v>
      </c>
      <c r="E90" t="s">
        <v>21</v>
      </c>
      <c r="F90">
        <v>95.643600000000006</v>
      </c>
      <c r="G90" t="s">
        <v>64</v>
      </c>
      <c r="H90">
        <v>1997</v>
      </c>
      <c r="I90" t="s">
        <v>65</v>
      </c>
      <c r="J90" t="s">
        <v>3</v>
      </c>
      <c r="K90" t="s">
        <v>41</v>
      </c>
      <c r="L90">
        <v>661.80520000000001</v>
      </c>
      <c r="M90" t="str">
        <f>IF(Table1[[#This Row],[Item_Outlet_Sales]]&gt;=3000,"High Sales",IF(Table1[[#This Row],[Item_Outlet_Sales]]&gt;=1500,"Medium Sales","Low Sales"))</f>
        <v>Low Sales</v>
      </c>
    </row>
    <row r="91" spans="1:13" x14ac:dyDescent="0.3">
      <c r="A91" t="s">
        <v>143</v>
      </c>
      <c r="B91">
        <v>20.85</v>
      </c>
      <c r="C91" t="s">
        <v>38</v>
      </c>
      <c r="D91">
        <v>3.9624006000000003E-2</v>
      </c>
      <c r="E91" t="s">
        <v>20</v>
      </c>
      <c r="F91">
        <v>117.2808</v>
      </c>
      <c r="G91" t="s">
        <v>39</v>
      </c>
      <c r="H91">
        <v>1999</v>
      </c>
      <c r="I91" t="s">
        <v>40</v>
      </c>
      <c r="J91" t="s">
        <v>3</v>
      </c>
      <c r="K91" t="s">
        <v>41</v>
      </c>
      <c r="L91">
        <v>1523.3504</v>
      </c>
      <c r="M91" t="str">
        <f>IF(Table1[[#This Row],[Item_Outlet_Sales]]&gt;=3000,"High Sales",IF(Table1[[#This Row],[Item_Outlet_Sales]]&gt;=1500,"Medium Sales","Low Sales"))</f>
        <v>Medium Sales</v>
      </c>
    </row>
    <row r="92" spans="1:13" x14ac:dyDescent="0.3">
      <c r="A92" t="s">
        <v>144</v>
      </c>
      <c r="B92">
        <v>20.75</v>
      </c>
      <c r="C92" t="s">
        <v>38</v>
      </c>
      <c r="D92">
        <v>4.0421193000000001E-2</v>
      </c>
      <c r="E92" t="s">
        <v>16</v>
      </c>
      <c r="F92">
        <v>122.173</v>
      </c>
      <c r="G92" t="s">
        <v>48</v>
      </c>
      <c r="H92">
        <v>1998</v>
      </c>
      <c r="I92" t="s">
        <v>40</v>
      </c>
      <c r="J92" t="s">
        <v>9</v>
      </c>
      <c r="K92" t="s">
        <v>49</v>
      </c>
      <c r="L92">
        <v>369.51900000000001</v>
      </c>
      <c r="M92" t="str">
        <f>IF(Table1[[#This Row],[Item_Outlet_Sales]]&gt;=3000,"High Sales",IF(Table1[[#This Row],[Item_Outlet_Sales]]&gt;=1500,"Medium Sales","Low Sales"))</f>
        <v>Low Sales</v>
      </c>
    </row>
    <row r="93" spans="1:13" x14ac:dyDescent="0.3">
      <c r="A93" t="s">
        <v>145</v>
      </c>
      <c r="B93">
        <v>8.8949999999999996</v>
      </c>
      <c r="C93" t="s">
        <v>38</v>
      </c>
      <c r="D93">
        <v>0.105274111</v>
      </c>
      <c r="E93" t="s">
        <v>14</v>
      </c>
      <c r="F93">
        <v>39.913800000000002</v>
      </c>
      <c r="G93" t="s">
        <v>39</v>
      </c>
      <c r="H93">
        <v>1999</v>
      </c>
      <c r="I93" t="s">
        <v>40</v>
      </c>
      <c r="J93" t="s">
        <v>3</v>
      </c>
      <c r="K93" t="s">
        <v>41</v>
      </c>
      <c r="L93">
        <v>690.43460000000005</v>
      </c>
      <c r="M93" t="str">
        <f>IF(Table1[[#This Row],[Item_Outlet_Sales]]&gt;=3000,"High Sales",IF(Table1[[#This Row],[Item_Outlet_Sales]]&gt;=1500,"Medium Sales","Low Sales"))</f>
        <v>Low Sales</v>
      </c>
    </row>
    <row r="94" spans="1:13" x14ac:dyDescent="0.3">
      <c r="A94" t="s">
        <v>146</v>
      </c>
      <c r="B94">
        <v>19.600000000000001</v>
      </c>
      <c r="C94" t="s">
        <v>38</v>
      </c>
      <c r="D94">
        <v>3.3970195000000002E-2</v>
      </c>
      <c r="E94" t="s">
        <v>22</v>
      </c>
      <c r="F94">
        <v>55.1614</v>
      </c>
      <c r="G94" t="s">
        <v>59</v>
      </c>
      <c r="H94">
        <v>2002</v>
      </c>
      <c r="I94" t="s">
        <v>40</v>
      </c>
      <c r="J94" t="s">
        <v>8</v>
      </c>
      <c r="K94" t="s">
        <v>41</v>
      </c>
      <c r="L94">
        <v>1381.5350000000001</v>
      </c>
      <c r="M94" t="str">
        <f>IF(Table1[[#This Row],[Item_Outlet_Sales]]&gt;=3000,"High Sales",IF(Table1[[#This Row],[Item_Outlet_Sales]]&gt;=1500,"Medium Sales","Low Sales"))</f>
        <v>Low Sales</v>
      </c>
    </row>
    <row r="95" spans="1:13" x14ac:dyDescent="0.3">
      <c r="A95" t="s">
        <v>147</v>
      </c>
      <c r="B95">
        <v>19.7</v>
      </c>
      <c r="C95" t="s">
        <v>38</v>
      </c>
      <c r="D95">
        <v>5.3212651999999999E-2</v>
      </c>
      <c r="E95" t="s">
        <v>16</v>
      </c>
      <c r="F95">
        <v>57.893000000000001</v>
      </c>
      <c r="G95" t="s">
        <v>73</v>
      </c>
      <c r="H95">
        <v>2004</v>
      </c>
      <c r="I95" t="s">
        <v>65</v>
      </c>
      <c r="J95" t="s">
        <v>8</v>
      </c>
      <c r="K95" t="s">
        <v>41</v>
      </c>
      <c r="L95">
        <v>622.52300000000002</v>
      </c>
      <c r="M95" t="str">
        <f>IF(Table1[[#This Row],[Item_Outlet_Sales]]&gt;=3000,"High Sales",IF(Table1[[#This Row],[Item_Outlet_Sales]]&gt;=1500,"Medium Sales","Low Sales"))</f>
        <v>Low Sales</v>
      </c>
    </row>
    <row r="96" spans="1:13" x14ac:dyDescent="0.3">
      <c r="A96" t="s">
        <v>148</v>
      </c>
      <c r="B96">
        <v>9.8000000000000007</v>
      </c>
      <c r="C96" t="s">
        <v>38</v>
      </c>
      <c r="D96">
        <v>2.4378706E-2</v>
      </c>
      <c r="E96" t="s">
        <v>18</v>
      </c>
      <c r="F96">
        <v>114.5492</v>
      </c>
      <c r="G96" t="s">
        <v>73</v>
      </c>
      <c r="H96">
        <v>2004</v>
      </c>
      <c r="I96" t="s">
        <v>65</v>
      </c>
      <c r="J96" t="s">
        <v>8</v>
      </c>
      <c r="K96" t="s">
        <v>41</v>
      </c>
      <c r="L96">
        <v>1274.3412000000001</v>
      </c>
      <c r="M96" t="str">
        <f>IF(Table1[[#This Row],[Item_Outlet_Sales]]&gt;=3000,"High Sales",IF(Table1[[#This Row],[Item_Outlet_Sales]]&gt;=1500,"Medium Sales","Low Sales"))</f>
        <v>Low Sales</v>
      </c>
    </row>
    <row r="97" spans="1:13" x14ac:dyDescent="0.3">
      <c r="A97" t="s">
        <v>149</v>
      </c>
      <c r="C97" t="s">
        <v>38</v>
      </c>
      <c r="D97">
        <v>9.7145949999999995E-3</v>
      </c>
      <c r="E97" t="s">
        <v>15</v>
      </c>
      <c r="F97">
        <v>120.0414</v>
      </c>
      <c r="G97" t="s">
        <v>78</v>
      </c>
      <c r="H97">
        <v>1985</v>
      </c>
      <c r="I97" t="s">
        <v>65</v>
      </c>
      <c r="J97" t="s">
        <v>3</v>
      </c>
      <c r="K97" t="s">
        <v>49</v>
      </c>
      <c r="L97">
        <v>487.36559999999997</v>
      </c>
      <c r="M97" t="str">
        <f>IF(Table1[[#This Row],[Item_Outlet_Sales]]&gt;=3000,"High Sales",IF(Table1[[#This Row],[Item_Outlet_Sales]]&gt;=1500,"Medium Sales","Low Sales"))</f>
        <v>Low Sales</v>
      </c>
    </row>
    <row r="98" spans="1:13" x14ac:dyDescent="0.3">
      <c r="A98" t="s">
        <v>150</v>
      </c>
      <c r="B98">
        <v>12.15</v>
      </c>
      <c r="C98" t="s">
        <v>38</v>
      </c>
      <c r="D98">
        <v>0.13138376199999999</v>
      </c>
      <c r="E98" t="s">
        <v>15</v>
      </c>
      <c r="F98">
        <v>246.04599999999999</v>
      </c>
      <c r="G98" t="s">
        <v>39</v>
      </c>
      <c r="H98">
        <v>1999</v>
      </c>
      <c r="I98" t="s">
        <v>40</v>
      </c>
      <c r="J98" t="s">
        <v>3</v>
      </c>
      <c r="K98" t="s">
        <v>41</v>
      </c>
      <c r="L98">
        <v>1231.73</v>
      </c>
      <c r="M98" t="str">
        <f>IF(Table1[[#This Row],[Item_Outlet_Sales]]&gt;=3000,"High Sales",IF(Table1[[#This Row],[Item_Outlet_Sales]]&gt;=1500,"Medium Sales","Low Sales"))</f>
        <v>Low Sales</v>
      </c>
    </row>
    <row r="99" spans="1:13" x14ac:dyDescent="0.3">
      <c r="A99" t="s">
        <v>151</v>
      </c>
      <c r="B99">
        <v>8.75</v>
      </c>
      <c r="C99" t="s">
        <v>43</v>
      </c>
      <c r="D99">
        <v>7.4613090000000007E-2</v>
      </c>
      <c r="E99" t="s">
        <v>16</v>
      </c>
      <c r="F99">
        <v>187.4556</v>
      </c>
      <c r="G99" t="s">
        <v>73</v>
      </c>
      <c r="H99">
        <v>2004</v>
      </c>
      <c r="I99" t="s">
        <v>65</v>
      </c>
      <c r="J99" t="s">
        <v>8</v>
      </c>
      <c r="K99" t="s">
        <v>41</v>
      </c>
      <c r="L99">
        <v>3755.1120000000001</v>
      </c>
      <c r="M99" t="str">
        <f>IF(Table1[[#This Row],[Item_Outlet_Sales]]&gt;=3000,"High Sales",IF(Table1[[#This Row],[Item_Outlet_Sales]]&gt;=1500,"Medium Sales","Low Sales"))</f>
        <v>High Sales</v>
      </c>
    </row>
    <row r="100" spans="1:13" x14ac:dyDescent="0.3">
      <c r="A100" t="s">
        <v>109</v>
      </c>
      <c r="C100" t="s">
        <v>38</v>
      </c>
      <c r="D100">
        <v>2.8459761E-2</v>
      </c>
      <c r="E100" t="s">
        <v>19</v>
      </c>
      <c r="F100">
        <v>149.9708</v>
      </c>
      <c r="G100" t="s">
        <v>56</v>
      </c>
      <c r="H100">
        <v>1985</v>
      </c>
      <c r="I100" t="s">
        <v>40</v>
      </c>
      <c r="J100" t="s">
        <v>9</v>
      </c>
      <c r="K100" t="s">
        <v>57</v>
      </c>
      <c r="L100">
        <v>4363.6531999999997</v>
      </c>
      <c r="M100" t="str">
        <f>IF(Table1[[#This Row],[Item_Outlet_Sales]]&gt;=3000,"High Sales",IF(Table1[[#This Row],[Item_Outlet_Sales]]&gt;=1500,"Medium Sales","Low Sales"))</f>
        <v>High Sales</v>
      </c>
    </row>
    <row r="101" spans="1:13" x14ac:dyDescent="0.3">
      <c r="A101" t="s">
        <v>151</v>
      </c>
      <c r="B101">
        <v>8.75</v>
      </c>
      <c r="C101" t="s">
        <v>43</v>
      </c>
      <c r="D101">
        <v>7.4627201000000004E-2</v>
      </c>
      <c r="E101" t="s">
        <v>16</v>
      </c>
      <c r="F101">
        <v>187.85560000000001</v>
      </c>
      <c r="G101" t="s">
        <v>64</v>
      </c>
      <c r="H101">
        <v>1997</v>
      </c>
      <c r="I101" t="s">
        <v>65</v>
      </c>
      <c r="J101" t="s">
        <v>3</v>
      </c>
      <c r="K101" t="s">
        <v>41</v>
      </c>
      <c r="L101">
        <v>1314.2891999999999</v>
      </c>
      <c r="M101" t="str">
        <f>IF(Table1[[#This Row],[Item_Outlet_Sales]]&gt;=3000,"High Sales",IF(Table1[[#This Row],[Item_Outlet_Sales]]&gt;=1500,"Medium Sales","Low Sales"))</f>
        <v>Low Sales</v>
      </c>
    </row>
    <row r="102" spans="1:13" x14ac:dyDescent="0.3">
      <c r="A102" t="s">
        <v>152</v>
      </c>
      <c r="B102">
        <v>13.3</v>
      </c>
      <c r="C102" t="s">
        <v>38</v>
      </c>
      <c r="D102">
        <v>6.3695083999999999E-2</v>
      </c>
      <c r="E102" t="s">
        <v>15</v>
      </c>
      <c r="F102">
        <v>151.07079999999999</v>
      </c>
      <c r="G102" t="s">
        <v>59</v>
      </c>
      <c r="H102">
        <v>2002</v>
      </c>
      <c r="I102" t="s">
        <v>65</v>
      </c>
      <c r="J102" t="s">
        <v>8</v>
      </c>
      <c r="K102" t="s">
        <v>41</v>
      </c>
      <c r="L102">
        <v>1805.6496</v>
      </c>
      <c r="M102" t="str">
        <f>IF(Table1[[#This Row],[Item_Outlet_Sales]]&gt;=3000,"High Sales",IF(Table1[[#This Row],[Item_Outlet_Sales]]&gt;=1500,"Medium Sales","Low Sales"))</f>
        <v>Medium Sales</v>
      </c>
    </row>
    <row r="103" spans="1:13" x14ac:dyDescent="0.3">
      <c r="A103" t="s">
        <v>153</v>
      </c>
      <c r="C103" t="s">
        <v>43</v>
      </c>
      <c r="D103">
        <v>4.5797828999999998E-2</v>
      </c>
      <c r="E103" t="s">
        <v>21</v>
      </c>
      <c r="F103">
        <v>178.53440000000001</v>
      </c>
      <c r="G103" t="s">
        <v>56</v>
      </c>
      <c r="H103">
        <v>1985</v>
      </c>
      <c r="I103" t="s">
        <v>40</v>
      </c>
      <c r="J103" t="s">
        <v>9</v>
      </c>
      <c r="K103" t="s">
        <v>57</v>
      </c>
      <c r="L103">
        <v>2854.9504000000002</v>
      </c>
      <c r="M103" t="str">
        <f>IF(Table1[[#This Row],[Item_Outlet_Sales]]&gt;=3000,"High Sales",IF(Table1[[#This Row],[Item_Outlet_Sales]]&gt;=1500,"Medium Sales","Low Sales"))</f>
        <v>Medium Sales</v>
      </c>
    </row>
    <row r="104" spans="1:13" x14ac:dyDescent="0.3">
      <c r="A104" t="s">
        <v>154</v>
      </c>
      <c r="B104">
        <v>8.31</v>
      </c>
      <c r="C104" t="s">
        <v>43</v>
      </c>
      <c r="D104">
        <v>0.115857223</v>
      </c>
      <c r="E104" t="s">
        <v>21</v>
      </c>
      <c r="F104">
        <v>179.1028</v>
      </c>
      <c r="G104" t="s">
        <v>39</v>
      </c>
      <c r="H104">
        <v>1999</v>
      </c>
      <c r="I104" t="s">
        <v>40</v>
      </c>
      <c r="J104" t="s">
        <v>3</v>
      </c>
      <c r="K104" t="s">
        <v>41</v>
      </c>
      <c r="L104">
        <v>3896.2615999999998</v>
      </c>
      <c r="M104" t="str">
        <f>IF(Table1[[#This Row],[Item_Outlet_Sales]]&gt;=3000,"High Sales",IF(Table1[[#This Row],[Item_Outlet_Sales]]&gt;=1500,"Medium Sales","Low Sales"))</f>
        <v>High Sales</v>
      </c>
    </row>
    <row r="105" spans="1:13" x14ac:dyDescent="0.3">
      <c r="A105" t="s">
        <v>155</v>
      </c>
      <c r="B105">
        <v>16.75</v>
      </c>
      <c r="C105" t="s">
        <v>43</v>
      </c>
      <c r="D105">
        <v>2.4832805999999999E-2</v>
      </c>
      <c r="E105" t="s">
        <v>22</v>
      </c>
      <c r="F105">
        <v>38.782200000000003</v>
      </c>
      <c r="G105" t="s">
        <v>51</v>
      </c>
      <c r="H105">
        <v>1987</v>
      </c>
      <c r="I105" t="s">
        <v>52</v>
      </c>
      <c r="J105" t="s">
        <v>9</v>
      </c>
      <c r="K105" t="s">
        <v>41</v>
      </c>
      <c r="L105">
        <v>667.79740000000004</v>
      </c>
      <c r="M105" t="str">
        <f>IF(Table1[[#This Row],[Item_Outlet_Sales]]&gt;=3000,"High Sales",IF(Table1[[#This Row],[Item_Outlet_Sales]]&gt;=1500,"Medium Sales","Low Sales"))</f>
        <v>Low Sales</v>
      </c>
    </row>
    <row r="106" spans="1:13" x14ac:dyDescent="0.3">
      <c r="A106" t="s">
        <v>156</v>
      </c>
      <c r="B106">
        <v>19.75</v>
      </c>
      <c r="C106" t="s">
        <v>38</v>
      </c>
      <c r="D106">
        <v>3.4027909000000002E-2</v>
      </c>
      <c r="E106" t="s">
        <v>21</v>
      </c>
      <c r="F106">
        <v>212.09020000000001</v>
      </c>
      <c r="G106" t="s">
        <v>44</v>
      </c>
      <c r="H106">
        <v>2009</v>
      </c>
      <c r="I106" t="s">
        <v>40</v>
      </c>
      <c r="J106" t="s">
        <v>9</v>
      </c>
      <c r="K106" t="s">
        <v>45</v>
      </c>
      <c r="L106">
        <v>3185.8530000000001</v>
      </c>
      <c r="M106" t="str">
        <f>IF(Table1[[#This Row],[Item_Outlet_Sales]]&gt;=3000,"High Sales",IF(Table1[[#This Row],[Item_Outlet_Sales]]&gt;=1500,"Medium Sales","Low Sales"))</f>
        <v>High Sales</v>
      </c>
    </row>
    <row r="107" spans="1:13" x14ac:dyDescent="0.3">
      <c r="A107" t="s">
        <v>157</v>
      </c>
      <c r="B107">
        <v>17.100000000000001</v>
      </c>
      <c r="C107" t="s">
        <v>43</v>
      </c>
      <c r="D107">
        <v>4.6769600000000001E-2</v>
      </c>
      <c r="E107" t="s">
        <v>13</v>
      </c>
      <c r="F107">
        <v>141.18379999999999</v>
      </c>
      <c r="G107" t="s">
        <v>51</v>
      </c>
      <c r="H107">
        <v>1987</v>
      </c>
      <c r="I107" t="s">
        <v>52</v>
      </c>
      <c r="J107" t="s">
        <v>9</v>
      </c>
      <c r="K107" t="s">
        <v>41</v>
      </c>
      <c r="L107">
        <v>2247.7408</v>
      </c>
      <c r="M107" t="str">
        <f>IF(Table1[[#This Row],[Item_Outlet_Sales]]&gt;=3000,"High Sales",IF(Table1[[#This Row],[Item_Outlet_Sales]]&gt;=1500,"Medium Sales","Low Sales"))</f>
        <v>Medium Sales</v>
      </c>
    </row>
    <row r="108" spans="1:13" x14ac:dyDescent="0.3">
      <c r="A108" t="s">
        <v>158</v>
      </c>
      <c r="B108">
        <v>10.5</v>
      </c>
      <c r="C108" t="s">
        <v>43</v>
      </c>
      <c r="D108">
        <v>0.116576702</v>
      </c>
      <c r="E108" t="s">
        <v>10</v>
      </c>
      <c r="F108">
        <v>163.12100000000001</v>
      </c>
      <c r="G108" t="s">
        <v>51</v>
      </c>
      <c r="H108">
        <v>1987</v>
      </c>
      <c r="I108" t="s">
        <v>52</v>
      </c>
      <c r="J108" t="s">
        <v>9</v>
      </c>
      <c r="K108" t="s">
        <v>41</v>
      </c>
      <c r="L108">
        <v>1794.3309999999999</v>
      </c>
      <c r="M108" t="str">
        <f>IF(Table1[[#This Row],[Item_Outlet_Sales]]&gt;=3000,"High Sales",IF(Table1[[#This Row],[Item_Outlet_Sales]]&gt;=1500,"Medium Sales","Low Sales"))</f>
        <v>Medium Sales</v>
      </c>
    </row>
    <row r="109" spans="1:13" x14ac:dyDescent="0.3">
      <c r="A109" t="s">
        <v>159</v>
      </c>
      <c r="B109">
        <v>6.6349999999999998</v>
      </c>
      <c r="C109" t="s">
        <v>43</v>
      </c>
      <c r="D109">
        <v>0</v>
      </c>
      <c r="E109" t="s">
        <v>10</v>
      </c>
      <c r="F109">
        <v>121.3098</v>
      </c>
      <c r="G109" t="s">
        <v>59</v>
      </c>
      <c r="H109">
        <v>2002</v>
      </c>
      <c r="I109" t="s">
        <v>52</v>
      </c>
      <c r="J109" t="s">
        <v>8</v>
      </c>
      <c r="K109" t="s">
        <v>41</v>
      </c>
      <c r="L109">
        <v>2530.7058000000002</v>
      </c>
      <c r="M109" t="str">
        <f>IF(Table1[[#This Row],[Item_Outlet_Sales]]&gt;=3000,"High Sales",IF(Table1[[#This Row],[Item_Outlet_Sales]]&gt;=1500,"Medium Sales","Low Sales"))</f>
        <v>Medium Sales</v>
      </c>
    </row>
    <row r="110" spans="1:13" x14ac:dyDescent="0.3">
      <c r="A110" t="s">
        <v>160</v>
      </c>
      <c r="C110" t="s">
        <v>83</v>
      </c>
      <c r="D110">
        <v>0.27897407499999999</v>
      </c>
      <c r="E110" t="s">
        <v>22</v>
      </c>
      <c r="F110">
        <v>225.37200000000001</v>
      </c>
      <c r="G110" t="s">
        <v>78</v>
      </c>
      <c r="H110">
        <v>1985</v>
      </c>
      <c r="I110" t="s">
        <v>65</v>
      </c>
      <c r="J110" t="s">
        <v>3</v>
      </c>
      <c r="K110" t="s">
        <v>49</v>
      </c>
      <c r="L110">
        <v>679.11599999999999</v>
      </c>
      <c r="M110" t="str">
        <f>IF(Table1[[#This Row],[Item_Outlet_Sales]]&gt;=3000,"High Sales",IF(Table1[[#This Row],[Item_Outlet_Sales]]&gt;=1500,"Medium Sales","Low Sales"))</f>
        <v>Low Sales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25"/>
  <sheetViews>
    <sheetView workbookViewId="0">
      <selection activeCell="D27" sqref="D27"/>
    </sheetView>
  </sheetViews>
  <sheetFormatPr defaultRowHeight="14.4" x14ac:dyDescent="0.3"/>
  <cols>
    <col min="1" max="1" width="18.44140625" bestFit="1" customWidth="1"/>
    <col min="2" max="2" width="23.109375" bestFit="1" customWidth="1"/>
    <col min="4" max="4" width="12.5546875" bestFit="1" customWidth="1"/>
    <col min="5" max="5" width="23.109375" bestFit="1" customWidth="1"/>
    <col min="6" max="6" width="11" bestFit="1" customWidth="1"/>
    <col min="7" max="7" width="12.77734375" bestFit="1" customWidth="1"/>
    <col min="8" max="8" width="12" bestFit="1" customWidth="1"/>
  </cols>
  <sheetData>
    <row r="3" spans="1:8" x14ac:dyDescent="0.3">
      <c r="A3" s="1" t="s">
        <v>0</v>
      </c>
      <c r="B3" t="s">
        <v>1</v>
      </c>
      <c r="D3" s="1" t="s">
        <v>1</v>
      </c>
      <c r="E3" s="1" t="s">
        <v>2</v>
      </c>
    </row>
    <row r="4" spans="1:8" x14ac:dyDescent="0.3">
      <c r="A4" s="2" t="s">
        <v>3</v>
      </c>
      <c r="B4">
        <v>74409.142199999987</v>
      </c>
      <c r="D4" s="1" t="s">
        <v>0</v>
      </c>
      <c r="E4" t="s">
        <v>4</v>
      </c>
      <c r="F4" t="s">
        <v>5</v>
      </c>
      <c r="G4" t="s">
        <v>6</v>
      </c>
      <c r="H4" t="s">
        <v>7</v>
      </c>
    </row>
    <row r="5" spans="1:8" x14ac:dyDescent="0.3">
      <c r="A5" s="2" t="s">
        <v>8</v>
      </c>
      <c r="B5">
        <v>72196.688800000018</v>
      </c>
      <c r="D5" s="2" t="s">
        <v>3</v>
      </c>
      <c r="E5">
        <v>35997.142800000001</v>
      </c>
      <c r="F5">
        <v>12601.596600000001</v>
      </c>
      <c r="G5">
        <v>25810.4028</v>
      </c>
      <c r="H5">
        <v>74409.142200000002</v>
      </c>
    </row>
    <row r="6" spans="1:8" x14ac:dyDescent="0.3">
      <c r="A6" s="2" t="s">
        <v>9</v>
      </c>
      <c r="B6">
        <v>85396.173800000004</v>
      </c>
      <c r="D6" s="2" t="s">
        <v>8</v>
      </c>
      <c r="E6">
        <v>36992.513800000001</v>
      </c>
      <c r="F6">
        <v>8440.3466000000008</v>
      </c>
      <c r="G6">
        <v>26763.828399999999</v>
      </c>
      <c r="H6">
        <v>72196.688800000004</v>
      </c>
    </row>
    <row r="7" spans="1:8" x14ac:dyDescent="0.3">
      <c r="A7" s="2" t="s">
        <v>7</v>
      </c>
      <c r="B7">
        <v>232002.0048</v>
      </c>
      <c r="D7" s="2" t="s">
        <v>9</v>
      </c>
      <c r="E7">
        <v>49763.223599999998</v>
      </c>
      <c r="F7">
        <v>8809.1998000000003</v>
      </c>
      <c r="G7">
        <v>26823.750400000001</v>
      </c>
      <c r="H7">
        <v>85396.173800000004</v>
      </c>
    </row>
    <row r="8" spans="1:8" x14ac:dyDescent="0.3">
      <c r="D8" s="2" t="s">
        <v>7</v>
      </c>
      <c r="E8">
        <v>122752.8802</v>
      </c>
      <c r="F8">
        <v>29851.143</v>
      </c>
      <c r="G8">
        <v>79397.981599999999</v>
      </c>
      <c r="H8">
        <v>232002.0048</v>
      </c>
    </row>
    <row r="10" spans="1:8" x14ac:dyDescent="0.3">
      <c r="A10" s="1" t="s">
        <v>0</v>
      </c>
      <c r="B10" t="s">
        <v>1</v>
      </c>
    </row>
    <row r="11" spans="1:8" x14ac:dyDescent="0.3">
      <c r="A11" s="2" t="s">
        <v>10</v>
      </c>
      <c r="B11">
        <v>16071.080400000001</v>
      </c>
      <c r="D11" s="1" t="s">
        <v>0</v>
      </c>
      <c r="E11" t="s">
        <v>1</v>
      </c>
    </row>
    <row r="12" spans="1:8" x14ac:dyDescent="0.3">
      <c r="A12" s="2" t="s">
        <v>11</v>
      </c>
      <c r="B12">
        <v>2174.5028000000002</v>
      </c>
      <c r="D12" s="2">
        <v>1985</v>
      </c>
      <c r="E12">
        <v>36934.589199999988</v>
      </c>
    </row>
    <row r="13" spans="1:8" x14ac:dyDescent="0.3">
      <c r="A13" s="2" t="s">
        <v>12</v>
      </c>
      <c r="B13">
        <v>5551.4403999999986</v>
      </c>
      <c r="D13" s="2">
        <v>1987</v>
      </c>
      <c r="E13">
        <v>16894.674999999999</v>
      </c>
    </row>
    <row r="14" spans="1:8" x14ac:dyDescent="0.3">
      <c r="A14" s="2" t="s">
        <v>13</v>
      </c>
      <c r="B14">
        <v>24623.947199999999</v>
      </c>
      <c r="D14" s="2">
        <v>1997</v>
      </c>
      <c r="E14">
        <v>38954.626400000001</v>
      </c>
    </row>
    <row r="15" spans="1:8" x14ac:dyDescent="0.3">
      <c r="A15" s="2" t="s">
        <v>14</v>
      </c>
      <c r="B15">
        <v>15395.959199999999</v>
      </c>
      <c r="D15" s="2">
        <v>1998</v>
      </c>
      <c r="E15">
        <v>1986.7472</v>
      </c>
    </row>
    <row r="16" spans="1:8" x14ac:dyDescent="0.3">
      <c r="A16" s="2" t="s">
        <v>15</v>
      </c>
      <c r="B16">
        <v>19694.364000000009</v>
      </c>
      <c r="D16" s="2">
        <v>1999</v>
      </c>
      <c r="E16">
        <v>30901.1096</v>
      </c>
    </row>
    <row r="17" spans="1:5" x14ac:dyDescent="0.3">
      <c r="A17" s="2" t="s">
        <v>16</v>
      </c>
      <c r="B17">
        <v>26661.2952</v>
      </c>
      <c r="D17" s="2">
        <v>2002</v>
      </c>
      <c r="E17">
        <v>33723.435800000007</v>
      </c>
    </row>
    <row r="18" spans="1:5" x14ac:dyDescent="0.3">
      <c r="A18" s="2" t="s">
        <v>17</v>
      </c>
      <c r="B18">
        <v>3409.5617999999999</v>
      </c>
      <c r="D18" s="2">
        <v>2004</v>
      </c>
      <c r="E18">
        <v>18635.0762</v>
      </c>
    </row>
    <row r="19" spans="1:5" x14ac:dyDescent="0.3">
      <c r="A19" s="2" t="s">
        <v>18</v>
      </c>
      <c r="B19">
        <v>17019.845399999998</v>
      </c>
      <c r="D19" s="2">
        <v>2007</v>
      </c>
      <c r="E19">
        <v>19838.176800000001</v>
      </c>
    </row>
    <row r="20" spans="1:5" x14ac:dyDescent="0.3">
      <c r="A20" s="2" t="s">
        <v>19</v>
      </c>
      <c r="B20">
        <v>20880.819599999999</v>
      </c>
      <c r="D20" s="2">
        <v>2009</v>
      </c>
      <c r="E20">
        <v>34133.568599999999</v>
      </c>
    </row>
    <row r="21" spans="1:5" x14ac:dyDescent="0.3">
      <c r="A21" s="2" t="s">
        <v>20</v>
      </c>
      <c r="B21">
        <v>11699.437599999999</v>
      </c>
      <c r="D21" s="2" t="s">
        <v>7</v>
      </c>
      <c r="E21">
        <v>232002.0048</v>
      </c>
    </row>
    <row r="22" spans="1:5" x14ac:dyDescent="0.3">
      <c r="A22" s="2" t="s">
        <v>21</v>
      </c>
      <c r="B22">
        <v>55045.680800000002</v>
      </c>
    </row>
    <row r="23" spans="1:5" x14ac:dyDescent="0.3">
      <c r="A23" s="2" t="s">
        <v>22</v>
      </c>
      <c r="B23">
        <v>9169.3976000000002</v>
      </c>
    </row>
    <row r="24" spans="1:5" x14ac:dyDescent="0.3">
      <c r="A24" s="2" t="s">
        <v>23</v>
      </c>
      <c r="B24">
        <v>4604.6728000000003</v>
      </c>
    </row>
    <row r="25" spans="1:5" x14ac:dyDescent="0.3">
      <c r="A25" s="2" t="s">
        <v>7</v>
      </c>
      <c r="B25">
        <v>232002.0048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BlinkIT Grocery Project</vt:lpstr>
      <vt:lpstr>Sheet1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Akshata Khambe</cp:lastModifiedBy>
  <dcterms:created xsi:type="dcterms:W3CDTF">2024-07-15T04:28:53Z</dcterms:created>
  <dcterms:modified xsi:type="dcterms:W3CDTF">2026-05-15T15:16:09Z</dcterms:modified>
</cp:coreProperties>
</file>